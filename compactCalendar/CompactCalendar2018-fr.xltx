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14400" windowHeight="12825"/>
  </bookViews>
  <sheets>
    <sheet name="12 mois ZA" sheetId="9" r:id="rId1"/>
    <sheet name="12 mois ZB" sheetId="8" r:id="rId2"/>
    <sheet name="12 mois ZC" sheetId="2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B26" i="5" l="1"/>
  <c r="G2" i="9"/>
  <c r="G2" i="2" l="1"/>
  <c r="G2" i="8"/>
  <c r="G2" i="6"/>
  <c r="K6" i="9"/>
  <c r="C60" i="9" l="1" a="1"/>
  <c r="C60" i="9" s="1"/>
  <c r="E7" i="9"/>
  <c r="C60" i="8" a="1"/>
  <c r="C60" i="8" s="1"/>
  <c r="K6" i="8"/>
  <c r="J6" i="8" s="1"/>
  <c r="K6" i="2"/>
  <c r="K4" i="2" s="1"/>
  <c r="B14" i="5"/>
  <c r="B13" i="5"/>
  <c r="B12" i="5"/>
  <c r="B11" i="5"/>
  <c r="B10" i="5"/>
  <c r="B9" i="5"/>
  <c r="B8" i="5"/>
  <c r="B7" i="5"/>
  <c r="B6" i="5"/>
  <c r="B5" i="5"/>
  <c r="B4" i="5"/>
  <c r="B25" i="5"/>
  <c r="B24" i="5"/>
  <c r="B23" i="5"/>
  <c r="B22" i="5"/>
  <c r="B21" i="5"/>
  <c r="B20" i="5"/>
  <c r="B19" i="5"/>
  <c r="B18" i="5"/>
  <c r="B17" i="5"/>
  <c r="B16" i="5"/>
  <c r="B15" i="5"/>
  <c r="K6" i="6"/>
  <c r="K4" i="6" s="1"/>
  <c r="C90" i="6" a="1"/>
  <c r="C90" i="6"/>
  <c r="C60" i="2" a="1"/>
  <c r="C60" i="2"/>
  <c r="J6" i="6" l="1"/>
  <c r="E7" i="6"/>
  <c r="F7" i="9"/>
  <c r="G7" i="9" s="1"/>
  <c r="H7" i="9" s="1"/>
  <c r="I7" i="9" s="1"/>
  <c r="J7" i="9" s="1"/>
  <c r="K7" i="9" s="1"/>
  <c r="E8" i="9" s="1"/>
  <c r="A7" i="9"/>
  <c r="K4" i="9"/>
  <c r="J6" i="9"/>
  <c r="J4" i="8"/>
  <c r="I6" i="8"/>
  <c r="K4" i="8"/>
  <c r="E7" i="8"/>
  <c r="J6" i="2"/>
  <c r="E7" i="2"/>
  <c r="C7" i="9" l="1" a="1"/>
  <c r="C7" i="9" s="1"/>
  <c r="A7" i="6"/>
  <c r="F7" i="6"/>
  <c r="G7" i="6" s="1"/>
  <c r="H7" i="6" s="1"/>
  <c r="I7" i="6" s="1"/>
  <c r="J7" i="6" s="1"/>
  <c r="K7" i="6" s="1"/>
  <c r="E8" i="6" s="1"/>
  <c r="F8" i="6" s="1"/>
  <c r="G8" i="6" s="1"/>
  <c r="H8" i="6" s="1"/>
  <c r="I8" i="6" s="1"/>
  <c r="J8" i="6" s="1"/>
  <c r="K8" i="6" s="1"/>
  <c r="E9" i="6" s="1"/>
  <c r="I6" i="6"/>
  <c r="J4" i="6"/>
  <c r="J4" i="9"/>
  <c r="I6" i="9"/>
  <c r="F8" i="9"/>
  <c r="G8" i="9" s="1"/>
  <c r="H8" i="9" s="1"/>
  <c r="I8" i="9" s="1"/>
  <c r="J8" i="9" s="1"/>
  <c r="K8" i="9" s="1"/>
  <c r="E9" i="9" s="1"/>
  <c r="A8" i="9"/>
  <c r="F7" i="8"/>
  <c r="G7" i="8" s="1"/>
  <c r="H7" i="8" s="1"/>
  <c r="I7" i="8" s="1"/>
  <c r="J7" i="8" s="1"/>
  <c r="K7" i="8" s="1"/>
  <c r="E8" i="8" s="1"/>
  <c r="A7" i="8"/>
  <c r="H6" i="8"/>
  <c r="I4" i="8"/>
  <c r="C7" i="6" a="1"/>
  <c r="C7" i="6" s="1"/>
  <c r="A8" i="6"/>
  <c r="C8" i="6" a="1"/>
  <c r="C8" i="6" s="1"/>
  <c r="I6" i="2"/>
  <c r="J4" i="2"/>
  <c r="A7" i="2"/>
  <c r="F7" i="2"/>
  <c r="G7" i="2" s="1"/>
  <c r="H7" i="2" s="1"/>
  <c r="I7" i="2" s="1"/>
  <c r="J7" i="2" s="1"/>
  <c r="K7" i="2" s="1"/>
  <c r="E8" i="2" s="1"/>
  <c r="C7" i="8" l="1" a="1"/>
  <c r="C7" i="8" s="1"/>
  <c r="I4" i="6"/>
  <c r="H6" i="6"/>
  <c r="C7" i="2" a="1"/>
  <c r="C7" i="2" s="1"/>
  <c r="C8" i="9" a="1"/>
  <c r="C8" i="9" s="1"/>
  <c r="H6" i="9"/>
  <c r="I4" i="9"/>
  <c r="F9" i="9"/>
  <c r="G9" i="9" s="1"/>
  <c r="H9" i="9" s="1"/>
  <c r="I9" i="9" s="1"/>
  <c r="J9" i="9" s="1"/>
  <c r="K9" i="9" s="1"/>
  <c r="E10" i="9" s="1"/>
  <c r="A9" i="9"/>
  <c r="H4" i="8"/>
  <c r="G6" i="8"/>
  <c r="F8" i="8"/>
  <c r="G8" i="8" s="1"/>
  <c r="H8" i="8" s="1"/>
  <c r="I8" i="8" s="1"/>
  <c r="J8" i="8" s="1"/>
  <c r="K8" i="8" s="1"/>
  <c r="E9" i="8" s="1"/>
  <c r="A8" i="8"/>
  <c r="A9" i="6"/>
  <c r="F9" i="6"/>
  <c r="G9" i="6" s="1"/>
  <c r="H9" i="6" s="1"/>
  <c r="I9" i="6" s="1"/>
  <c r="J9" i="6" s="1"/>
  <c r="K9" i="6" s="1"/>
  <c r="E10" i="6" s="1"/>
  <c r="H6" i="2"/>
  <c r="I4" i="2"/>
  <c r="A8" i="2"/>
  <c r="F8" i="2"/>
  <c r="G8" i="2" s="1"/>
  <c r="H8" i="2" l="1"/>
  <c r="I8" i="2" s="1"/>
  <c r="G6" i="6"/>
  <c r="H4" i="6"/>
  <c r="C9" i="9" a="1"/>
  <c r="C9" i="9" s="1"/>
  <c r="F10" i="9"/>
  <c r="G10" i="9" s="1"/>
  <c r="H10" i="9" s="1"/>
  <c r="I10" i="9" s="1"/>
  <c r="J10" i="9" s="1"/>
  <c r="K10" i="9" s="1"/>
  <c r="E11" i="9" s="1"/>
  <c r="A10" i="9"/>
  <c r="H4" i="9"/>
  <c r="G6" i="9"/>
  <c r="C8" i="8" a="1"/>
  <c r="C8" i="8" s="1"/>
  <c r="F6" i="8"/>
  <c r="G4" i="8"/>
  <c r="F9" i="8"/>
  <c r="G9" i="8" s="1"/>
  <c r="H9" i="8" s="1"/>
  <c r="I9" i="8" s="1"/>
  <c r="J9" i="8" s="1"/>
  <c r="K9" i="8" s="1"/>
  <c r="E10" i="8" s="1"/>
  <c r="A9" i="8"/>
  <c r="C9" i="6" a="1"/>
  <c r="C9" i="6" s="1"/>
  <c r="F10" i="6"/>
  <c r="G10" i="6" s="1"/>
  <c r="H10" i="6" s="1"/>
  <c r="I10" i="6" s="1"/>
  <c r="J10" i="6" s="1"/>
  <c r="K10" i="6" s="1"/>
  <c r="E11" i="6" s="1"/>
  <c r="A10" i="6"/>
  <c r="G6" i="2"/>
  <c r="H4" i="2"/>
  <c r="J8" i="2" l="1"/>
  <c r="K8" i="2" s="1"/>
  <c r="E9" i="2" s="1"/>
  <c r="G4" i="6"/>
  <c r="F6" i="6"/>
  <c r="C10" i="6" a="1"/>
  <c r="C10" i="6" s="1"/>
  <c r="C9" i="8" a="1"/>
  <c r="C9" i="8" s="1"/>
  <c r="F6" i="9"/>
  <c r="G4" i="9"/>
  <c r="F11" i="9"/>
  <c r="G11" i="9" s="1"/>
  <c r="H11" i="9" s="1"/>
  <c r="I11" i="9" s="1"/>
  <c r="J11" i="9" s="1"/>
  <c r="K11" i="9" s="1"/>
  <c r="E12" i="9" s="1"/>
  <c r="A11" i="9"/>
  <c r="C10" i="9" a="1"/>
  <c r="C10" i="9" s="1"/>
  <c r="F10" i="8"/>
  <c r="G10" i="8" s="1"/>
  <c r="H10" i="8" s="1"/>
  <c r="I10" i="8" s="1"/>
  <c r="J10" i="8" s="1"/>
  <c r="K10" i="8" s="1"/>
  <c r="E11" i="8" s="1"/>
  <c r="A10" i="8"/>
  <c r="F4" i="8"/>
  <c r="E6" i="8"/>
  <c r="F11" i="6"/>
  <c r="G11" i="6" s="1"/>
  <c r="H11" i="6" s="1"/>
  <c r="I11" i="6" s="1"/>
  <c r="J11" i="6" s="1"/>
  <c r="K11" i="6" s="1"/>
  <c r="E12" i="6" s="1"/>
  <c r="A11" i="6"/>
  <c r="F6" i="2"/>
  <c r="G4" i="2"/>
  <c r="C8" i="2" l="1" a="1"/>
  <c r="C8" i="2" s="1"/>
  <c r="C10" i="8" a="1"/>
  <c r="C10" i="8" s="1"/>
  <c r="F9" i="2"/>
  <c r="A9" i="2"/>
  <c r="C11" i="9" a="1"/>
  <c r="C11" i="9" s="1"/>
  <c r="C11" i="6" a="1"/>
  <c r="C11" i="6" s="1"/>
  <c r="F4" i="6"/>
  <c r="E6" i="6"/>
  <c r="F12" i="9"/>
  <c r="G12" i="9" s="1"/>
  <c r="H12" i="9" s="1"/>
  <c r="I12" i="9" s="1"/>
  <c r="J12" i="9" s="1"/>
  <c r="K12" i="9" s="1"/>
  <c r="E13" i="9" s="1"/>
  <c r="A12" i="9"/>
  <c r="F4" i="9"/>
  <c r="E6" i="9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A12" i="6"/>
  <c r="F12" i="6"/>
  <c r="G12" i="6" s="1"/>
  <c r="H12" i="6" s="1"/>
  <c r="I12" i="6" s="1"/>
  <c r="J12" i="6" s="1"/>
  <c r="K12" i="6" s="1"/>
  <c r="E13" i="6" s="1"/>
  <c r="E6" i="2"/>
  <c r="F4" i="2"/>
  <c r="G9" i="2" l="1"/>
  <c r="H9" i="2" s="1"/>
  <c r="I9" i="2" s="1"/>
  <c r="J9" i="2" s="1"/>
  <c r="K9" i="2" s="1"/>
  <c r="E10" i="2" s="1"/>
  <c r="E4" i="6"/>
  <c r="A6" i="6"/>
  <c r="C6" i="6" a="1"/>
  <c r="C6" i="6" s="1"/>
  <c r="C11" i="8" a="1"/>
  <c r="C11" i="8" s="1"/>
  <c r="C12" i="9" a="1"/>
  <c r="C12" i="9" s="1"/>
  <c r="C12" i="6" a="1"/>
  <c r="C12" i="6" s="1"/>
  <c r="A6" i="9"/>
  <c r="C6" i="9" a="1"/>
  <c r="C6" i="9" s="1"/>
  <c r="E4" i="9"/>
  <c r="F13" i="9"/>
  <c r="G13" i="9" s="1"/>
  <c r="H13" i="9" s="1"/>
  <c r="I13" i="9" s="1"/>
  <c r="J13" i="9" s="1"/>
  <c r="K13" i="9" s="1"/>
  <c r="E14" i="9" s="1"/>
  <c r="A13" i="9"/>
  <c r="F12" i="8"/>
  <c r="G12" i="8" s="1"/>
  <c r="H12" i="8" s="1"/>
  <c r="I12" i="8" s="1"/>
  <c r="J12" i="8" s="1"/>
  <c r="K12" i="8" s="1"/>
  <c r="E13" i="8" s="1"/>
  <c r="A12" i="8"/>
  <c r="F13" i="6"/>
  <c r="G13" i="6" s="1"/>
  <c r="H13" i="6" s="1"/>
  <c r="I13" i="6" s="1"/>
  <c r="J13" i="6" s="1"/>
  <c r="K13" i="6" s="1"/>
  <c r="E14" i="6" s="1"/>
  <c r="A13" i="6"/>
  <c r="A6" i="2"/>
  <c r="E4" i="2"/>
  <c r="C6" i="2" a="1"/>
  <c r="C6" i="2" s="1"/>
  <c r="C9" i="2" l="1" a="1"/>
  <c r="C9" i="2" s="1"/>
  <c r="A10" i="2"/>
  <c r="F10" i="2"/>
  <c r="G10" i="2" s="1"/>
  <c r="H10" i="2" s="1"/>
  <c r="I10" i="2" s="1"/>
  <c r="J10" i="2" s="1"/>
  <c r="K10" i="2" s="1"/>
  <c r="E11" i="2" s="1"/>
  <c r="C12" i="8" a="1"/>
  <c r="C12" i="8" s="1"/>
  <c r="C13" i="6" a="1"/>
  <c r="C13" i="6" s="1"/>
  <c r="C13" i="9" a="1"/>
  <c r="C13" i="9" s="1"/>
  <c r="F14" i="9"/>
  <c r="G14" i="9" s="1"/>
  <c r="H14" i="9" s="1"/>
  <c r="I14" i="9" s="1"/>
  <c r="J14" i="9" s="1"/>
  <c r="K14" i="9" s="1"/>
  <c r="E15" i="9" s="1"/>
  <c r="A14" i="9"/>
  <c r="F13" i="8"/>
  <c r="G13" i="8" s="1"/>
  <c r="H13" i="8" s="1"/>
  <c r="I13" i="8" s="1"/>
  <c r="J13" i="8" s="1"/>
  <c r="K13" i="8" s="1"/>
  <c r="E14" i="8" s="1"/>
  <c r="A13" i="8"/>
  <c r="A14" i="6"/>
  <c r="F14" i="6"/>
  <c r="G14" i="6" s="1"/>
  <c r="H14" i="6" s="1"/>
  <c r="I14" i="6" s="1"/>
  <c r="J14" i="6" s="1"/>
  <c r="K14" i="6" s="1"/>
  <c r="E15" i="6" s="1"/>
  <c r="C10" i="2" l="1" a="1"/>
  <c r="C10" i="2" s="1"/>
  <c r="F11" i="2"/>
  <c r="G11" i="2" s="1"/>
  <c r="H11" i="2" s="1"/>
  <c r="I11" i="2" s="1"/>
  <c r="J11" i="2" s="1"/>
  <c r="K11" i="2" s="1"/>
  <c r="E12" i="2" s="1"/>
  <c r="A11" i="2"/>
  <c r="C13" i="8" a="1"/>
  <c r="C13" i="8" s="1"/>
  <c r="C14" i="6" a="1"/>
  <c r="C14" i="6" s="1"/>
  <c r="C14" i="9" a="1"/>
  <c r="C14" i="9" s="1"/>
  <c r="F15" i="9"/>
  <c r="G15" i="9" s="1"/>
  <c r="H15" i="9" s="1"/>
  <c r="I15" i="9" s="1"/>
  <c r="J15" i="9" s="1"/>
  <c r="K15" i="9" s="1"/>
  <c r="E16" i="9" s="1"/>
  <c r="A15" i="9"/>
  <c r="F14" i="8"/>
  <c r="G14" i="8" s="1"/>
  <c r="H14" i="8" s="1"/>
  <c r="I14" i="8" s="1"/>
  <c r="J14" i="8" s="1"/>
  <c r="K14" i="8" s="1"/>
  <c r="E15" i="8" s="1"/>
  <c r="A14" i="8"/>
  <c r="F15" i="6"/>
  <c r="G15" i="6" s="1"/>
  <c r="H15" i="6" s="1"/>
  <c r="I15" i="6" s="1"/>
  <c r="J15" i="6" s="1"/>
  <c r="K15" i="6" s="1"/>
  <c r="E16" i="6" s="1"/>
  <c r="A15" i="6"/>
  <c r="C11" i="2" l="1" a="1"/>
  <c r="C11" i="2" s="1"/>
  <c r="A12" i="2"/>
  <c r="F12" i="2"/>
  <c r="G12" i="2" s="1"/>
  <c r="H12" i="2" s="1"/>
  <c r="I12" i="2" s="1"/>
  <c r="J12" i="2" s="1"/>
  <c r="K12" i="2" s="1"/>
  <c r="E13" i="2" s="1"/>
  <c r="C15" i="6" a="1"/>
  <c r="C15" i="6" s="1"/>
  <c r="C14" i="8" a="1"/>
  <c r="C14" i="8" s="1"/>
  <c r="F16" i="9"/>
  <c r="G16" i="9" s="1"/>
  <c r="H16" i="9" s="1"/>
  <c r="I16" i="9" s="1"/>
  <c r="J16" i="9" s="1"/>
  <c r="K16" i="9" s="1"/>
  <c r="E17" i="9" s="1"/>
  <c r="A16" i="9"/>
  <c r="C15" i="9" a="1"/>
  <c r="C15" i="9" s="1"/>
  <c r="F15" i="8"/>
  <c r="G15" i="8" s="1"/>
  <c r="H15" i="8" s="1"/>
  <c r="I15" i="8" s="1"/>
  <c r="J15" i="8" s="1"/>
  <c r="K15" i="8" s="1"/>
  <c r="E16" i="8" s="1"/>
  <c r="A15" i="8"/>
  <c r="A16" i="6"/>
  <c r="F16" i="6"/>
  <c r="G16" i="6" s="1"/>
  <c r="H16" i="6" s="1"/>
  <c r="I16" i="6" s="1"/>
  <c r="J16" i="6" s="1"/>
  <c r="K16" i="6" s="1"/>
  <c r="E17" i="6" s="1"/>
  <c r="C12" i="2" l="1" a="1"/>
  <c r="C12" i="2" s="1"/>
  <c r="F13" i="2"/>
  <c r="G13" i="2" s="1"/>
  <c r="H13" i="2" s="1"/>
  <c r="I13" i="2" s="1"/>
  <c r="J13" i="2" s="1"/>
  <c r="K13" i="2" s="1"/>
  <c r="E14" i="2" s="1"/>
  <c r="A13" i="2"/>
  <c r="C16" i="6" a="1"/>
  <c r="C16" i="6" s="1"/>
  <c r="C16" i="9" a="1"/>
  <c r="C16" i="9" s="1"/>
  <c r="C15" i="8" a="1"/>
  <c r="C15" i="8" s="1"/>
  <c r="F17" i="9"/>
  <c r="G17" i="9" s="1"/>
  <c r="H17" i="9" s="1"/>
  <c r="I17" i="9" s="1"/>
  <c r="J17" i="9" s="1"/>
  <c r="K17" i="9" s="1"/>
  <c r="E18" i="9" s="1"/>
  <c r="A17" i="9"/>
  <c r="F16" i="8"/>
  <c r="G16" i="8" s="1"/>
  <c r="H16" i="8" s="1"/>
  <c r="I16" i="8" s="1"/>
  <c r="J16" i="8" s="1"/>
  <c r="K16" i="8" s="1"/>
  <c r="E17" i="8" s="1"/>
  <c r="A16" i="8"/>
  <c r="F17" i="6"/>
  <c r="G17" i="6" s="1"/>
  <c r="H17" i="6" s="1"/>
  <c r="I17" i="6" s="1"/>
  <c r="J17" i="6" s="1"/>
  <c r="K17" i="6" s="1"/>
  <c r="E18" i="6" s="1"/>
  <c r="A17" i="6"/>
  <c r="C16" i="8" l="1" a="1"/>
  <c r="C16" i="8" s="1"/>
  <c r="C13" i="2" a="1"/>
  <c r="C13" i="2" s="1"/>
  <c r="A14" i="2"/>
  <c r="F14" i="2"/>
  <c r="G14" i="2" s="1"/>
  <c r="H14" i="2" s="1"/>
  <c r="I14" i="2" s="1"/>
  <c r="J14" i="2" s="1"/>
  <c r="K14" i="2" s="1"/>
  <c r="E15" i="2" s="1"/>
  <c r="C17" i="6" a="1"/>
  <c r="C17" i="6" s="1"/>
  <c r="F18" i="9"/>
  <c r="G18" i="9" s="1"/>
  <c r="H18" i="9" s="1"/>
  <c r="I18" i="9" s="1"/>
  <c r="J18" i="9" s="1"/>
  <c r="K18" i="9" s="1"/>
  <c r="E19" i="9" s="1"/>
  <c r="A18" i="9"/>
  <c r="C17" i="9" a="1"/>
  <c r="C17" i="9" s="1"/>
  <c r="F17" i="8"/>
  <c r="G17" i="8" s="1"/>
  <c r="H17" i="8" s="1"/>
  <c r="I17" i="8" s="1"/>
  <c r="J17" i="8" s="1"/>
  <c r="K17" i="8" s="1"/>
  <c r="E18" i="8" s="1"/>
  <c r="A17" i="8"/>
  <c r="F18" i="6"/>
  <c r="G18" i="6" s="1"/>
  <c r="H18" i="6" s="1"/>
  <c r="I18" i="6" s="1"/>
  <c r="J18" i="6" s="1"/>
  <c r="K18" i="6" s="1"/>
  <c r="E19" i="6" s="1"/>
  <c r="A18" i="6"/>
  <c r="C14" i="2" l="1" a="1"/>
  <c r="C14" i="2" s="1"/>
  <c r="C17" i="8" a="1"/>
  <c r="C17" i="8" s="1"/>
  <c r="F15" i="2"/>
  <c r="G15" i="2" s="1"/>
  <c r="H15" i="2" s="1"/>
  <c r="I15" i="2" s="1"/>
  <c r="J15" i="2" s="1"/>
  <c r="K15" i="2" s="1"/>
  <c r="E16" i="2" s="1"/>
  <c r="C15" i="2" a="1"/>
  <c r="C15" i="2" s="1"/>
  <c r="A15" i="2"/>
  <c r="C18" i="6" a="1"/>
  <c r="C18" i="6" s="1"/>
  <c r="F19" i="9"/>
  <c r="G19" i="9" s="1"/>
  <c r="H19" i="9" s="1"/>
  <c r="I19" i="9" s="1"/>
  <c r="J19" i="9" s="1"/>
  <c r="K19" i="9" s="1"/>
  <c r="E20" i="9" s="1"/>
  <c r="A19" i="9"/>
  <c r="C18" i="9" a="1"/>
  <c r="C18" i="9" s="1"/>
  <c r="F18" i="8"/>
  <c r="G18" i="8" s="1"/>
  <c r="H18" i="8" s="1"/>
  <c r="I18" i="8" s="1"/>
  <c r="J18" i="8" s="1"/>
  <c r="K18" i="8" s="1"/>
  <c r="E19" i="8" s="1"/>
  <c r="A18" i="8"/>
  <c r="A19" i="6"/>
  <c r="F19" i="6"/>
  <c r="G19" i="6" s="1"/>
  <c r="H19" i="6" s="1"/>
  <c r="I19" i="6" s="1"/>
  <c r="J19" i="6" s="1"/>
  <c r="K19" i="6" s="1"/>
  <c r="E20" i="6" s="1"/>
  <c r="C19" i="6" a="1"/>
  <c r="C19" i="6" s="1"/>
  <c r="C18" i="8" l="1" a="1"/>
  <c r="C18" i="8" s="1"/>
  <c r="A16" i="2"/>
  <c r="F16" i="2"/>
  <c r="G16" i="2" s="1"/>
  <c r="H16" i="2" s="1"/>
  <c r="I16" i="2" s="1"/>
  <c r="J16" i="2" s="1"/>
  <c r="K16" i="2" s="1"/>
  <c r="E17" i="2" s="1"/>
  <c r="F20" i="9"/>
  <c r="G20" i="9" s="1"/>
  <c r="H20" i="9" s="1"/>
  <c r="I20" i="9" s="1"/>
  <c r="J20" i="9" s="1"/>
  <c r="K20" i="9" s="1"/>
  <c r="E21" i="9" s="1"/>
  <c r="A20" i="9"/>
  <c r="C19" i="9" a="1"/>
  <c r="C19" i="9" s="1"/>
  <c r="F19" i="8"/>
  <c r="G19" i="8" s="1"/>
  <c r="H19" i="8" s="1"/>
  <c r="I19" i="8" s="1"/>
  <c r="J19" i="8" s="1"/>
  <c r="K19" i="8" s="1"/>
  <c r="E20" i="8" s="1"/>
  <c r="A19" i="8"/>
  <c r="F20" i="6"/>
  <c r="G20" i="6" s="1"/>
  <c r="H20" i="6" s="1"/>
  <c r="I20" i="6" s="1"/>
  <c r="J20" i="6" s="1"/>
  <c r="K20" i="6" s="1"/>
  <c r="E21" i="6" s="1"/>
  <c r="A20" i="6"/>
  <c r="C16" i="2" l="1" a="1"/>
  <c r="C16" i="2" s="1"/>
  <c r="A17" i="2"/>
  <c r="F17" i="2"/>
  <c r="G17" i="2" s="1"/>
  <c r="H17" i="2" s="1"/>
  <c r="I17" i="2" s="1"/>
  <c r="J17" i="2" s="1"/>
  <c r="K17" i="2" s="1"/>
  <c r="E18" i="2" s="1"/>
  <c r="C19" i="8" a="1"/>
  <c r="C19" i="8" s="1"/>
  <c r="C20" i="6" a="1"/>
  <c r="C20" i="6" s="1"/>
  <c r="C20" i="9" a="1"/>
  <c r="C20" i="9" s="1"/>
  <c r="F21" i="9"/>
  <c r="G21" i="9" s="1"/>
  <c r="H21" i="9" s="1"/>
  <c r="I21" i="9" s="1"/>
  <c r="J21" i="9" s="1"/>
  <c r="K21" i="9" s="1"/>
  <c r="E22" i="9" s="1"/>
  <c r="A21" i="9"/>
  <c r="F20" i="8"/>
  <c r="G20" i="8" s="1"/>
  <c r="H20" i="8" s="1"/>
  <c r="I20" i="8" s="1"/>
  <c r="J20" i="8" s="1"/>
  <c r="K20" i="8" s="1"/>
  <c r="E21" i="8" s="1"/>
  <c r="A20" i="8"/>
  <c r="A21" i="6"/>
  <c r="F21" i="6"/>
  <c r="G21" i="6" s="1"/>
  <c r="H21" i="6" s="1"/>
  <c r="I21" i="6" s="1"/>
  <c r="J21" i="6" s="1"/>
  <c r="K21" i="6" s="1"/>
  <c r="E22" i="6" s="1"/>
  <c r="C21" i="6" l="1" a="1"/>
  <c r="C21" i="6" s="1"/>
  <c r="C17" i="2" a="1"/>
  <c r="C17" i="2" s="1"/>
  <c r="F18" i="2"/>
  <c r="G18" i="2" s="1"/>
  <c r="H18" i="2" s="1"/>
  <c r="I18" i="2" s="1"/>
  <c r="J18" i="2" s="1"/>
  <c r="K18" i="2" s="1"/>
  <c r="E19" i="2" s="1"/>
  <c r="A18" i="2"/>
  <c r="C20" i="8" a="1"/>
  <c r="C20" i="8" s="1"/>
  <c r="C21" i="9" a="1"/>
  <c r="C21" i="9" s="1"/>
  <c r="F22" i="9"/>
  <c r="G22" i="9" s="1"/>
  <c r="H22" i="9" s="1"/>
  <c r="I22" i="9" s="1"/>
  <c r="J22" i="9" s="1"/>
  <c r="K22" i="9" s="1"/>
  <c r="E23" i="9" s="1"/>
  <c r="A22" i="9"/>
  <c r="F21" i="8"/>
  <c r="G21" i="8" s="1"/>
  <c r="H21" i="8" s="1"/>
  <c r="I21" i="8" s="1"/>
  <c r="J21" i="8" s="1"/>
  <c r="K21" i="8" s="1"/>
  <c r="E22" i="8" s="1"/>
  <c r="A21" i="8"/>
  <c r="F22" i="6"/>
  <c r="G22" i="6" s="1"/>
  <c r="H22" i="6" s="1"/>
  <c r="I22" i="6" s="1"/>
  <c r="J22" i="6" s="1"/>
  <c r="K22" i="6" s="1"/>
  <c r="E23" i="6" s="1"/>
  <c r="A22" i="6"/>
  <c r="C18" i="2" l="1" a="1"/>
  <c r="C18" i="2" s="1"/>
  <c r="A19" i="2"/>
  <c r="F19" i="2"/>
  <c r="G19" i="2" s="1"/>
  <c r="H19" i="2" s="1"/>
  <c r="I19" i="2" s="1"/>
  <c r="J19" i="2" s="1"/>
  <c r="K19" i="2" s="1"/>
  <c r="E20" i="2" s="1"/>
  <c r="C21" i="8" a="1"/>
  <c r="C21" i="8" s="1"/>
  <c r="C22" i="6" a="1"/>
  <c r="C22" i="6" s="1"/>
  <c r="C22" i="9" a="1"/>
  <c r="C22" i="9" s="1"/>
  <c r="F23" i="9"/>
  <c r="G23" i="9" s="1"/>
  <c r="H23" i="9" s="1"/>
  <c r="I23" i="9" s="1"/>
  <c r="J23" i="9" s="1"/>
  <c r="K23" i="9" s="1"/>
  <c r="E24" i="9" s="1"/>
  <c r="A23" i="9"/>
  <c r="F22" i="8"/>
  <c r="G22" i="8" s="1"/>
  <c r="H22" i="8" s="1"/>
  <c r="I22" i="8" s="1"/>
  <c r="J22" i="8" s="1"/>
  <c r="K22" i="8" s="1"/>
  <c r="E23" i="8" s="1"/>
  <c r="A22" i="8"/>
  <c r="A23" i="6"/>
  <c r="F23" i="6"/>
  <c r="G23" i="6" s="1"/>
  <c r="H23" i="6" s="1"/>
  <c r="I23" i="6" s="1"/>
  <c r="J23" i="6" s="1"/>
  <c r="K23" i="6" s="1"/>
  <c r="E24" i="6" s="1"/>
  <c r="C19" i="2" l="1" a="1"/>
  <c r="C19" i="2" s="1"/>
  <c r="F20" i="2"/>
  <c r="G20" i="2" s="1"/>
  <c r="H20" i="2" s="1"/>
  <c r="I20" i="2" s="1"/>
  <c r="J20" i="2" s="1"/>
  <c r="K20" i="2" s="1"/>
  <c r="E21" i="2" s="1"/>
  <c r="A20" i="2"/>
  <c r="C23" i="6" a="1"/>
  <c r="C23" i="6" s="1"/>
  <c r="C22" i="8" a="1"/>
  <c r="C22" i="8" s="1"/>
  <c r="C23" i="9" a="1"/>
  <c r="C23" i="9" s="1"/>
  <c r="F24" i="9"/>
  <c r="G24" i="9" s="1"/>
  <c r="H24" i="9" s="1"/>
  <c r="I24" i="9" s="1"/>
  <c r="J24" i="9" s="1"/>
  <c r="K24" i="9" s="1"/>
  <c r="E25" i="9" s="1"/>
  <c r="A24" i="9"/>
  <c r="F23" i="8"/>
  <c r="G23" i="8" s="1"/>
  <c r="H23" i="8" s="1"/>
  <c r="I23" i="8" s="1"/>
  <c r="J23" i="8" s="1"/>
  <c r="K23" i="8" s="1"/>
  <c r="E24" i="8" s="1"/>
  <c r="A23" i="8"/>
  <c r="F24" i="6"/>
  <c r="G24" i="6" s="1"/>
  <c r="H24" i="6" s="1"/>
  <c r="I24" i="6" s="1"/>
  <c r="J24" i="6" s="1"/>
  <c r="K24" i="6" s="1"/>
  <c r="E25" i="6" s="1"/>
  <c r="A24" i="6"/>
  <c r="C23" i="8" l="1" a="1"/>
  <c r="C23" i="8" s="1"/>
  <c r="C24" i="6" a="1"/>
  <c r="C24" i="6" s="1"/>
  <c r="C20" i="2" a="1"/>
  <c r="C20" i="2" s="1"/>
  <c r="F21" i="2"/>
  <c r="G21" i="2" s="1"/>
  <c r="H21" i="2" s="1"/>
  <c r="I21" i="2" s="1"/>
  <c r="J21" i="2" s="1"/>
  <c r="K21" i="2" s="1"/>
  <c r="E22" i="2" s="1"/>
  <c r="A21" i="2"/>
  <c r="C24" i="9" a="1"/>
  <c r="C24" i="9" s="1"/>
  <c r="F25" i="9"/>
  <c r="G25" i="9" s="1"/>
  <c r="H25" i="9" s="1"/>
  <c r="I25" i="9" s="1"/>
  <c r="J25" i="9" s="1"/>
  <c r="K25" i="9" s="1"/>
  <c r="E26" i="9" s="1"/>
  <c r="A25" i="9"/>
  <c r="F24" i="8"/>
  <c r="G24" i="8" s="1"/>
  <c r="H24" i="8" s="1"/>
  <c r="I24" i="8" s="1"/>
  <c r="J24" i="8" s="1"/>
  <c r="K24" i="8" s="1"/>
  <c r="E25" i="8" s="1"/>
  <c r="A24" i="8"/>
  <c r="A25" i="6"/>
  <c r="F25" i="6"/>
  <c r="G25" i="6" s="1"/>
  <c r="H25" i="6" s="1"/>
  <c r="I25" i="6" s="1"/>
  <c r="J25" i="6" s="1"/>
  <c r="K25" i="6" s="1"/>
  <c r="E26" i="6" s="1"/>
  <c r="C21" i="2" l="1" a="1"/>
  <c r="C21" i="2" s="1"/>
  <c r="A22" i="2"/>
  <c r="F22" i="2"/>
  <c r="G22" i="2" s="1"/>
  <c r="H22" i="2" s="1"/>
  <c r="I22" i="2" s="1"/>
  <c r="J22" i="2" s="1"/>
  <c r="K22" i="2" s="1"/>
  <c r="E23" i="2" s="1"/>
  <c r="C24" i="8" a="1"/>
  <c r="C24" i="8" s="1"/>
  <c r="C25" i="6" a="1"/>
  <c r="C25" i="6" s="1"/>
  <c r="C25" i="9" a="1"/>
  <c r="C25" i="9" s="1"/>
  <c r="F26" i="9"/>
  <c r="G26" i="9" s="1"/>
  <c r="H26" i="9" s="1"/>
  <c r="I26" i="9" s="1"/>
  <c r="J26" i="9" s="1"/>
  <c r="K26" i="9" s="1"/>
  <c r="E27" i="9" s="1"/>
  <c r="A26" i="9"/>
  <c r="F25" i="8"/>
  <c r="G25" i="8" s="1"/>
  <c r="H25" i="8" s="1"/>
  <c r="I25" i="8" s="1"/>
  <c r="J25" i="8" s="1"/>
  <c r="K25" i="8" s="1"/>
  <c r="E26" i="8" s="1"/>
  <c r="A25" i="8"/>
  <c r="F26" i="6"/>
  <c r="G26" i="6" s="1"/>
  <c r="H26" i="6" s="1"/>
  <c r="I26" i="6" s="1"/>
  <c r="J26" i="6" s="1"/>
  <c r="K26" i="6" s="1"/>
  <c r="E27" i="6" s="1"/>
  <c r="A26" i="6"/>
  <c r="C22" i="2" l="1" a="1"/>
  <c r="C22" i="2" s="1"/>
  <c r="A23" i="2"/>
  <c r="F23" i="2"/>
  <c r="G23" i="2" s="1"/>
  <c r="H23" i="2" s="1"/>
  <c r="I23" i="2" s="1"/>
  <c r="J23" i="2" s="1"/>
  <c r="K23" i="2" s="1"/>
  <c r="E24" i="2" s="1"/>
  <c r="C25" i="8" a="1"/>
  <c r="C25" i="8" s="1"/>
  <c r="C26" i="6" a="1"/>
  <c r="C26" i="6" s="1"/>
  <c r="C26" i="9" a="1"/>
  <c r="C26" i="9" s="1"/>
  <c r="F27" i="9"/>
  <c r="G27" i="9" s="1"/>
  <c r="H27" i="9" s="1"/>
  <c r="I27" i="9" s="1"/>
  <c r="J27" i="9" s="1"/>
  <c r="K27" i="9" s="1"/>
  <c r="E28" i="9" s="1"/>
  <c r="A27" i="9"/>
  <c r="F26" i="8"/>
  <c r="G26" i="8" s="1"/>
  <c r="H26" i="8" s="1"/>
  <c r="I26" i="8" s="1"/>
  <c r="J26" i="8" s="1"/>
  <c r="K26" i="8" s="1"/>
  <c r="E27" i="8" s="1"/>
  <c r="A26" i="8"/>
  <c r="A27" i="6"/>
  <c r="F27" i="6"/>
  <c r="G27" i="6" s="1"/>
  <c r="H27" i="6" s="1"/>
  <c r="I27" i="6" s="1"/>
  <c r="J27" i="6" s="1"/>
  <c r="K27" i="6" s="1"/>
  <c r="E28" i="6" s="1"/>
  <c r="C26" i="8" l="1" a="1"/>
  <c r="C26" i="8" s="1"/>
  <c r="C23" i="2" a="1"/>
  <c r="C23" i="2" s="1"/>
  <c r="A24" i="2"/>
  <c r="F24" i="2"/>
  <c r="G24" i="2" s="1"/>
  <c r="H24" i="2" s="1"/>
  <c r="I24" i="2" s="1"/>
  <c r="J24" i="2" s="1"/>
  <c r="K24" i="2" s="1"/>
  <c r="E25" i="2" s="1"/>
  <c r="C27" i="6" a="1"/>
  <c r="C27" i="6" s="1"/>
  <c r="C27" i="9" a="1"/>
  <c r="C27" i="9" s="1"/>
  <c r="F28" i="9"/>
  <c r="G28" i="9" s="1"/>
  <c r="H28" i="9" s="1"/>
  <c r="I28" i="9" s="1"/>
  <c r="J28" i="9" s="1"/>
  <c r="K28" i="9" s="1"/>
  <c r="E29" i="9" s="1"/>
  <c r="A28" i="9"/>
  <c r="F27" i="8"/>
  <c r="G27" i="8" s="1"/>
  <c r="H27" i="8" s="1"/>
  <c r="I27" i="8" s="1"/>
  <c r="J27" i="8" s="1"/>
  <c r="K27" i="8" s="1"/>
  <c r="E28" i="8" s="1"/>
  <c r="A27" i="8"/>
  <c r="F28" i="6"/>
  <c r="G28" i="6" s="1"/>
  <c r="H28" i="6" s="1"/>
  <c r="I28" i="6" s="1"/>
  <c r="J28" i="6" s="1"/>
  <c r="K28" i="6" s="1"/>
  <c r="E29" i="6" s="1"/>
  <c r="A28" i="6"/>
  <c r="C24" i="2" l="1" a="1"/>
  <c r="C24" i="2" s="1"/>
  <c r="C27" i="8" a="1"/>
  <c r="C27" i="8" s="1"/>
  <c r="F25" i="2"/>
  <c r="G25" i="2" s="1"/>
  <c r="H25" i="2" s="1"/>
  <c r="I25" i="2" s="1"/>
  <c r="J25" i="2" s="1"/>
  <c r="K25" i="2" s="1"/>
  <c r="E26" i="2" s="1"/>
  <c r="A25" i="2"/>
  <c r="C28" i="6" a="1"/>
  <c r="C28" i="6" s="1"/>
  <c r="C28" i="9" a="1"/>
  <c r="C28" i="9" s="1"/>
  <c r="F29" i="9"/>
  <c r="G29" i="9" s="1"/>
  <c r="H29" i="9" s="1"/>
  <c r="I29" i="9" s="1"/>
  <c r="J29" i="9" s="1"/>
  <c r="K29" i="9" s="1"/>
  <c r="E30" i="9" s="1"/>
  <c r="A29" i="9"/>
  <c r="F28" i="8"/>
  <c r="G28" i="8" s="1"/>
  <c r="H28" i="8" s="1"/>
  <c r="I28" i="8" s="1"/>
  <c r="J28" i="8" s="1"/>
  <c r="K28" i="8" s="1"/>
  <c r="E29" i="8" s="1"/>
  <c r="A28" i="8"/>
  <c r="A29" i="6"/>
  <c r="F29" i="6"/>
  <c r="G29" i="6" s="1"/>
  <c r="H29" i="6" s="1"/>
  <c r="I29" i="6" s="1"/>
  <c r="J29" i="6" s="1"/>
  <c r="K29" i="6" s="1"/>
  <c r="E30" i="6" s="1"/>
  <c r="C29" i="6" l="1" a="1"/>
  <c r="C29" i="6" s="1"/>
  <c r="C25" i="2" a="1"/>
  <c r="C25" i="2" s="1"/>
  <c r="C28" i="8" a="1"/>
  <c r="C28" i="8" s="1"/>
  <c r="F26" i="2"/>
  <c r="G26" i="2" s="1"/>
  <c r="H26" i="2" s="1"/>
  <c r="I26" i="2" s="1"/>
  <c r="J26" i="2" s="1"/>
  <c r="K26" i="2" s="1"/>
  <c r="E27" i="2" s="1"/>
  <c r="A26" i="2"/>
  <c r="C29" i="9" a="1"/>
  <c r="C29" i="9" s="1"/>
  <c r="F30" i="9"/>
  <c r="G30" i="9" s="1"/>
  <c r="H30" i="9" s="1"/>
  <c r="I30" i="9" s="1"/>
  <c r="J30" i="9" s="1"/>
  <c r="K30" i="9" s="1"/>
  <c r="E31" i="9" s="1"/>
  <c r="A30" i="9"/>
  <c r="F29" i="8"/>
  <c r="G29" i="8" s="1"/>
  <c r="H29" i="8" s="1"/>
  <c r="I29" i="8" s="1"/>
  <c r="J29" i="8" s="1"/>
  <c r="K29" i="8" s="1"/>
  <c r="E30" i="8" s="1"/>
  <c r="A29" i="8"/>
  <c r="F30" i="6"/>
  <c r="G30" i="6" s="1"/>
  <c r="H30" i="6" s="1"/>
  <c r="I30" i="6" s="1"/>
  <c r="J30" i="6" s="1"/>
  <c r="K30" i="6" s="1"/>
  <c r="E31" i="6" s="1"/>
  <c r="A30" i="6"/>
  <c r="C30" i="9" l="1" a="1"/>
  <c r="C30" i="9" s="1"/>
  <c r="C26" i="2" a="1"/>
  <c r="C26" i="2" s="1"/>
  <c r="C29" i="8" a="1"/>
  <c r="C29" i="8" s="1"/>
  <c r="F27" i="2"/>
  <c r="G27" i="2" s="1"/>
  <c r="H27" i="2" s="1"/>
  <c r="I27" i="2" s="1"/>
  <c r="J27" i="2" s="1"/>
  <c r="K27" i="2" s="1"/>
  <c r="E28" i="2" s="1"/>
  <c r="A27" i="2"/>
  <c r="C30" i="6" a="1"/>
  <c r="C30" i="6" s="1"/>
  <c r="F31" i="9"/>
  <c r="G31" i="9" s="1"/>
  <c r="H31" i="9" s="1"/>
  <c r="I31" i="9" s="1"/>
  <c r="J31" i="9" s="1"/>
  <c r="K31" i="9" s="1"/>
  <c r="E32" i="9" s="1"/>
  <c r="A31" i="9"/>
  <c r="F30" i="8"/>
  <c r="G30" i="8" s="1"/>
  <c r="H30" i="8" s="1"/>
  <c r="I30" i="8" s="1"/>
  <c r="J30" i="8" s="1"/>
  <c r="K30" i="8" s="1"/>
  <c r="E31" i="8" s="1"/>
  <c r="A30" i="8"/>
  <c r="A31" i="6"/>
  <c r="F31" i="6"/>
  <c r="G31" i="6" s="1"/>
  <c r="H31" i="6" s="1"/>
  <c r="I31" i="6" s="1"/>
  <c r="J31" i="6" s="1"/>
  <c r="K31" i="6" s="1"/>
  <c r="E32" i="6" s="1"/>
  <c r="C27" i="2" l="1" a="1"/>
  <c r="C27" i="2" s="1"/>
  <c r="F28" i="2"/>
  <c r="G28" i="2" s="1"/>
  <c r="H28" i="2" s="1"/>
  <c r="I28" i="2" s="1"/>
  <c r="J28" i="2" s="1"/>
  <c r="K28" i="2" s="1"/>
  <c r="E29" i="2" s="1"/>
  <c r="A28" i="2"/>
  <c r="C30" i="8" a="1"/>
  <c r="C30" i="8" s="1"/>
  <c r="C31" i="9" a="1"/>
  <c r="C31" i="9" s="1"/>
  <c r="F32" i="9"/>
  <c r="G32" i="9" s="1"/>
  <c r="H32" i="9" s="1"/>
  <c r="I32" i="9" s="1"/>
  <c r="J32" i="9" s="1"/>
  <c r="K32" i="9" s="1"/>
  <c r="E33" i="9" s="1"/>
  <c r="A32" i="9"/>
  <c r="F31" i="8"/>
  <c r="G31" i="8" s="1"/>
  <c r="H31" i="8" s="1"/>
  <c r="I31" i="8" s="1"/>
  <c r="J31" i="8" s="1"/>
  <c r="K31" i="8" s="1"/>
  <c r="E32" i="8" s="1"/>
  <c r="A31" i="8"/>
  <c r="F32" i="6"/>
  <c r="G32" i="6" s="1"/>
  <c r="H32" i="6" s="1"/>
  <c r="I32" i="6" s="1"/>
  <c r="J32" i="6" s="1"/>
  <c r="K32" i="6" s="1"/>
  <c r="E33" i="6" s="1"/>
  <c r="A32" i="6"/>
  <c r="C31" i="6" a="1"/>
  <c r="C31" i="6" s="1"/>
  <c r="C28" i="2" l="1" a="1"/>
  <c r="C28" i="2" s="1"/>
  <c r="C31" i="8" a="1"/>
  <c r="C31" i="8" s="1"/>
  <c r="F29" i="2"/>
  <c r="G29" i="2" s="1"/>
  <c r="H29" i="2" s="1"/>
  <c r="I29" i="2" s="1"/>
  <c r="J29" i="2" s="1"/>
  <c r="K29" i="2" s="1"/>
  <c r="E30" i="2" s="1"/>
  <c r="A29" i="2"/>
  <c r="C29" i="2" a="1"/>
  <c r="C29" i="2" s="1"/>
  <c r="C32" i="6" a="1"/>
  <c r="C32" i="6" s="1"/>
  <c r="C32" i="9" a="1"/>
  <c r="C32" i="9" s="1"/>
  <c r="F33" i="9"/>
  <c r="G33" i="9" s="1"/>
  <c r="H33" i="9" s="1"/>
  <c r="I33" i="9" s="1"/>
  <c r="J33" i="9" s="1"/>
  <c r="K33" i="9" s="1"/>
  <c r="E34" i="9" s="1"/>
  <c r="A33" i="9"/>
  <c r="F32" i="8"/>
  <c r="G32" i="8" s="1"/>
  <c r="H32" i="8" s="1"/>
  <c r="I32" i="8" s="1"/>
  <c r="J32" i="8" s="1"/>
  <c r="K32" i="8" s="1"/>
  <c r="E33" i="8" s="1"/>
  <c r="A32" i="8"/>
  <c r="A33" i="6"/>
  <c r="F33" i="6"/>
  <c r="G33" i="6" s="1"/>
  <c r="H33" i="6" s="1"/>
  <c r="I33" i="6" s="1"/>
  <c r="J33" i="6" s="1"/>
  <c r="K33" i="6" s="1"/>
  <c r="E34" i="6" s="1"/>
  <c r="C32" i="8" l="1" a="1"/>
  <c r="C32" i="8" s="1"/>
  <c r="F30" i="2"/>
  <c r="G30" i="2" s="1"/>
  <c r="H30" i="2" s="1"/>
  <c r="I30" i="2" s="1"/>
  <c r="J30" i="2" s="1"/>
  <c r="K30" i="2" s="1"/>
  <c r="E31" i="2" s="1"/>
  <c r="A30" i="2"/>
  <c r="C30" i="2" a="1"/>
  <c r="C30" i="2" s="1"/>
  <c r="C33" i="6" a="1"/>
  <c r="C33" i="6" s="1"/>
  <c r="C33" i="9" a="1"/>
  <c r="C33" i="9" s="1"/>
  <c r="F34" i="9"/>
  <c r="G34" i="9" s="1"/>
  <c r="H34" i="9" s="1"/>
  <c r="I34" i="9" s="1"/>
  <c r="J34" i="9" s="1"/>
  <c r="K34" i="9" s="1"/>
  <c r="E35" i="9" s="1"/>
  <c r="A34" i="9"/>
  <c r="F33" i="8"/>
  <c r="G33" i="8" s="1"/>
  <c r="H33" i="8" s="1"/>
  <c r="I33" i="8" s="1"/>
  <c r="J33" i="8" s="1"/>
  <c r="K33" i="8" s="1"/>
  <c r="E34" i="8" s="1"/>
  <c r="A33" i="8"/>
  <c r="F34" i="6"/>
  <c r="G34" i="6" s="1"/>
  <c r="H34" i="6" s="1"/>
  <c r="I34" i="6" s="1"/>
  <c r="J34" i="6" s="1"/>
  <c r="K34" i="6" s="1"/>
  <c r="E35" i="6" s="1"/>
  <c r="A34" i="6"/>
  <c r="F31" i="2" l="1"/>
  <c r="G31" i="2" s="1"/>
  <c r="H31" i="2" s="1"/>
  <c r="I31" i="2" s="1"/>
  <c r="J31" i="2" s="1"/>
  <c r="K31" i="2" s="1"/>
  <c r="E32" i="2" s="1"/>
  <c r="A31" i="2"/>
  <c r="C31" i="2" a="1"/>
  <c r="C31" i="2" s="1"/>
  <c r="C33" i="8" a="1"/>
  <c r="C33" i="8" s="1"/>
  <c r="C34" i="9" a="1"/>
  <c r="C34" i="9" s="1"/>
  <c r="F35" i="9"/>
  <c r="G35" i="9" s="1"/>
  <c r="H35" i="9" s="1"/>
  <c r="I35" i="9" s="1"/>
  <c r="J35" i="9" s="1"/>
  <c r="K35" i="9" s="1"/>
  <c r="E36" i="9" s="1"/>
  <c r="A35" i="9"/>
  <c r="F34" i="8"/>
  <c r="G34" i="8" s="1"/>
  <c r="H34" i="8" s="1"/>
  <c r="I34" i="8" s="1"/>
  <c r="J34" i="8" s="1"/>
  <c r="K34" i="8" s="1"/>
  <c r="E35" i="8" s="1"/>
  <c r="A34" i="8"/>
  <c r="C34" i="6" a="1"/>
  <c r="C34" i="6" s="1"/>
  <c r="F35" i="6"/>
  <c r="G35" i="6" s="1"/>
  <c r="H35" i="6" s="1"/>
  <c r="I35" i="6" s="1"/>
  <c r="J35" i="6" s="1"/>
  <c r="K35" i="6" s="1"/>
  <c r="E36" i="6" s="1"/>
  <c r="A35" i="6"/>
  <c r="A32" i="2" l="1"/>
  <c r="F32" i="2"/>
  <c r="G32" i="2" s="1"/>
  <c r="H32" i="2" s="1"/>
  <c r="I32" i="2" s="1"/>
  <c r="J32" i="2" s="1"/>
  <c r="K32" i="2" s="1"/>
  <c r="E33" i="2" s="1"/>
  <c r="C35" i="6" a="1"/>
  <c r="C35" i="6" s="1"/>
  <c r="C34" i="8" a="1"/>
  <c r="C34" i="8" s="1"/>
  <c r="C35" i="9" a="1"/>
  <c r="C35" i="9" s="1"/>
  <c r="F36" i="9"/>
  <c r="G36" i="9" s="1"/>
  <c r="H36" i="9" s="1"/>
  <c r="I36" i="9" s="1"/>
  <c r="J36" i="9" s="1"/>
  <c r="K36" i="9" s="1"/>
  <c r="E37" i="9" s="1"/>
  <c r="A36" i="9"/>
  <c r="F35" i="8"/>
  <c r="G35" i="8" s="1"/>
  <c r="H35" i="8" s="1"/>
  <c r="I35" i="8" s="1"/>
  <c r="J35" i="8" s="1"/>
  <c r="K35" i="8" s="1"/>
  <c r="E36" i="8" s="1"/>
  <c r="A35" i="8"/>
  <c r="A36" i="6"/>
  <c r="F36" i="6"/>
  <c r="G36" i="6" s="1"/>
  <c r="H36" i="6" s="1"/>
  <c r="I36" i="6" s="1"/>
  <c r="J36" i="6" s="1"/>
  <c r="K36" i="6" s="1"/>
  <c r="E37" i="6" s="1"/>
  <c r="C32" i="2" l="1" a="1"/>
  <c r="C32" i="2" s="1"/>
  <c r="A33" i="2"/>
  <c r="F33" i="2"/>
  <c r="G33" i="2" s="1"/>
  <c r="H33" i="2" s="1"/>
  <c r="I33" i="2" s="1"/>
  <c r="J33" i="2" s="1"/>
  <c r="K33" i="2" s="1"/>
  <c r="E34" i="2" s="1"/>
  <c r="C35" i="8" a="1"/>
  <c r="C35" i="8" s="1"/>
  <c r="C36" i="9" a="1"/>
  <c r="C36" i="9" s="1"/>
  <c r="F37" i="9"/>
  <c r="G37" i="9" s="1"/>
  <c r="H37" i="9" s="1"/>
  <c r="I37" i="9" s="1"/>
  <c r="J37" i="9" s="1"/>
  <c r="K37" i="9" s="1"/>
  <c r="E38" i="9" s="1"/>
  <c r="A37" i="9"/>
  <c r="F36" i="8"/>
  <c r="G36" i="8" s="1"/>
  <c r="H36" i="8" s="1"/>
  <c r="I36" i="8" s="1"/>
  <c r="J36" i="8" s="1"/>
  <c r="K36" i="8" s="1"/>
  <c r="E37" i="8" s="1"/>
  <c r="A36" i="8"/>
  <c r="A37" i="6"/>
  <c r="F37" i="6"/>
  <c r="G37" i="6" s="1"/>
  <c r="H37" i="6" s="1"/>
  <c r="I37" i="6" s="1"/>
  <c r="J37" i="6" s="1"/>
  <c r="K37" i="6" s="1"/>
  <c r="E38" i="6" s="1"/>
  <c r="C36" i="6" a="1"/>
  <c r="C36" i="6" s="1"/>
  <c r="C33" i="2" l="1" a="1"/>
  <c r="C33" i="2" s="1"/>
  <c r="A34" i="2"/>
  <c r="F34" i="2"/>
  <c r="G34" i="2" s="1"/>
  <c r="H34" i="2" s="1"/>
  <c r="I34" i="2" s="1"/>
  <c r="J34" i="2" s="1"/>
  <c r="K34" i="2" s="1"/>
  <c r="E35" i="2" s="1"/>
  <c r="C36" i="8" a="1"/>
  <c r="C36" i="8" s="1"/>
  <c r="C37" i="9" a="1"/>
  <c r="C37" i="9" s="1"/>
  <c r="F38" i="9"/>
  <c r="G38" i="9" s="1"/>
  <c r="H38" i="9" s="1"/>
  <c r="I38" i="9" s="1"/>
  <c r="J38" i="9" s="1"/>
  <c r="K38" i="9" s="1"/>
  <c r="E39" i="9" s="1"/>
  <c r="A38" i="9"/>
  <c r="F37" i="8"/>
  <c r="G37" i="8" s="1"/>
  <c r="H37" i="8" s="1"/>
  <c r="I37" i="8" s="1"/>
  <c r="J37" i="8" s="1"/>
  <c r="K37" i="8" s="1"/>
  <c r="E38" i="8" s="1"/>
  <c r="A37" i="8"/>
  <c r="C37" i="6" a="1"/>
  <c r="C37" i="6" s="1"/>
  <c r="F38" i="6"/>
  <c r="G38" i="6" s="1"/>
  <c r="H38" i="6" s="1"/>
  <c r="I38" i="6" s="1"/>
  <c r="J38" i="6" s="1"/>
  <c r="K38" i="6" s="1"/>
  <c r="E39" i="6" s="1"/>
  <c r="C38" i="6" a="1"/>
  <c r="C38" i="6" s="1"/>
  <c r="A38" i="6"/>
  <c r="C34" i="2" l="1" a="1"/>
  <c r="C34" i="2" s="1"/>
  <c r="F35" i="2"/>
  <c r="G35" i="2" s="1"/>
  <c r="H35" i="2" s="1"/>
  <c r="I35" i="2" s="1"/>
  <c r="J35" i="2" s="1"/>
  <c r="K35" i="2" s="1"/>
  <c r="E36" i="2" s="1"/>
  <c r="A35" i="2"/>
  <c r="C37" i="8" a="1"/>
  <c r="C37" i="8" s="1"/>
  <c r="C38" i="9" a="1"/>
  <c r="C38" i="9" s="1"/>
  <c r="F39" i="9"/>
  <c r="G39" i="9" s="1"/>
  <c r="H39" i="9" s="1"/>
  <c r="I39" i="9" s="1"/>
  <c r="J39" i="9" s="1"/>
  <c r="K39" i="9" s="1"/>
  <c r="E40" i="9" s="1"/>
  <c r="A39" i="9"/>
  <c r="F38" i="8"/>
  <c r="G38" i="8" s="1"/>
  <c r="H38" i="8" s="1"/>
  <c r="I38" i="8" s="1"/>
  <c r="J38" i="8" s="1"/>
  <c r="K38" i="8" s="1"/>
  <c r="E39" i="8" s="1"/>
  <c r="A38" i="8"/>
  <c r="F39" i="6"/>
  <c r="G39" i="6" s="1"/>
  <c r="H39" i="6" s="1"/>
  <c r="I39" i="6" s="1"/>
  <c r="J39" i="6" s="1"/>
  <c r="K39" i="6" s="1"/>
  <c r="E40" i="6" s="1"/>
  <c r="A39" i="6"/>
  <c r="C35" i="2" l="1" a="1"/>
  <c r="C35" i="2" s="1"/>
  <c r="C38" i="8" a="1"/>
  <c r="C38" i="8" s="1"/>
  <c r="F36" i="2"/>
  <c r="G36" i="2" s="1"/>
  <c r="H36" i="2" s="1"/>
  <c r="I36" i="2" s="1"/>
  <c r="J36" i="2" s="1"/>
  <c r="K36" i="2" s="1"/>
  <c r="E37" i="2" s="1"/>
  <c r="A36" i="2"/>
  <c r="C39" i="9" a="1"/>
  <c r="C39" i="9" s="1"/>
  <c r="F40" i="9"/>
  <c r="G40" i="9" s="1"/>
  <c r="H40" i="9" s="1"/>
  <c r="I40" i="9" s="1"/>
  <c r="J40" i="9" s="1"/>
  <c r="K40" i="9" s="1"/>
  <c r="E41" i="9" s="1"/>
  <c r="A40" i="9"/>
  <c r="F39" i="8"/>
  <c r="G39" i="8" s="1"/>
  <c r="H39" i="8" s="1"/>
  <c r="I39" i="8" s="1"/>
  <c r="J39" i="8" s="1"/>
  <c r="K39" i="8" s="1"/>
  <c r="E40" i="8" s="1"/>
  <c r="A39" i="8"/>
  <c r="C39" i="6" a="1"/>
  <c r="C39" i="6" s="1"/>
  <c r="A40" i="6"/>
  <c r="C40" i="6" a="1"/>
  <c r="C40" i="6" s="1"/>
  <c r="F40" i="6"/>
  <c r="G40" i="6" s="1"/>
  <c r="H40" i="6" s="1"/>
  <c r="I40" i="6" s="1"/>
  <c r="J40" i="6" s="1"/>
  <c r="K40" i="6" s="1"/>
  <c r="E41" i="6" s="1"/>
  <c r="C36" i="2" l="1" a="1"/>
  <c r="C36" i="2" s="1"/>
  <c r="F37" i="2"/>
  <c r="G37" i="2" s="1"/>
  <c r="H37" i="2" s="1"/>
  <c r="I37" i="2" s="1"/>
  <c r="J37" i="2" s="1"/>
  <c r="K37" i="2" s="1"/>
  <c r="E38" i="2" s="1"/>
  <c r="A37" i="2"/>
  <c r="C39" i="8" a="1"/>
  <c r="C39" i="8" s="1"/>
  <c r="C40" i="9" a="1"/>
  <c r="C40" i="9" s="1"/>
  <c r="F41" i="9"/>
  <c r="G41" i="9" s="1"/>
  <c r="H41" i="9" s="1"/>
  <c r="I41" i="9" s="1"/>
  <c r="J41" i="9" s="1"/>
  <c r="K41" i="9" s="1"/>
  <c r="E42" i="9" s="1"/>
  <c r="A41" i="9"/>
  <c r="F40" i="8"/>
  <c r="G40" i="8" s="1"/>
  <c r="H40" i="8" s="1"/>
  <c r="I40" i="8" s="1"/>
  <c r="J40" i="8" s="1"/>
  <c r="K40" i="8" s="1"/>
  <c r="E41" i="8" s="1"/>
  <c r="A40" i="8"/>
  <c r="A41" i="6"/>
  <c r="F41" i="6"/>
  <c r="G41" i="6" s="1"/>
  <c r="H41" i="6" s="1"/>
  <c r="I41" i="6" s="1"/>
  <c r="J41" i="6" s="1"/>
  <c r="K41" i="6" s="1"/>
  <c r="E42" i="6" s="1"/>
  <c r="C41" i="6" a="1"/>
  <c r="C41" i="6" s="1"/>
  <c r="C37" i="2" l="1" a="1"/>
  <c r="C37" i="2" s="1"/>
  <c r="F38" i="2"/>
  <c r="G38" i="2" s="1"/>
  <c r="H38" i="2" s="1"/>
  <c r="I38" i="2" s="1"/>
  <c r="J38" i="2" s="1"/>
  <c r="K38" i="2" s="1"/>
  <c r="E39" i="2" s="1"/>
  <c r="A38" i="2"/>
  <c r="C40" i="8" a="1"/>
  <c r="C40" i="8" s="1"/>
  <c r="C41" i="9" a="1"/>
  <c r="C41" i="9" s="1"/>
  <c r="F42" i="9"/>
  <c r="G42" i="9" s="1"/>
  <c r="H42" i="9" s="1"/>
  <c r="I42" i="9" s="1"/>
  <c r="J42" i="9" s="1"/>
  <c r="K42" i="9" s="1"/>
  <c r="E43" i="9" s="1"/>
  <c r="A42" i="9"/>
  <c r="F41" i="8"/>
  <c r="G41" i="8" s="1"/>
  <c r="H41" i="8" s="1"/>
  <c r="I41" i="8" s="1"/>
  <c r="J41" i="8" s="1"/>
  <c r="K41" i="8" s="1"/>
  <c r="E42" i="8" s="1"/>
  <c r="A41" i="8"/>
  <c r="A42" i="6"/>
  <c r="F42" i="6"/>
  <c r="G42" i="6" s="1"/>
  <c r="H42" i="6" s="1"/>
  <c r="I42" i="6" s="1"/>
  <c r="J42" i="6" s="1"/>
  <c r="K42" i="6" s="1"/>
  <c r="E43" i="6" s="1"/>
  <c r="C42" i="6" a="1"/>
  <c r="C42" i="6" s="1"/>
  <c r="C38" i="2" l="1" a="1"/>
  <c r="C38" i="2" s="1"/>
  <c r="C41" i="8" a="1"/>
  <c r="C41" i="8" s="1"/>
  <c r="F39" i="2"/>
  <c r="G39" i="2" s="1"/>
  <c r="H39" i="2" s="1"/>
  <c r="I39" i="2" s="1"/>
  <c r="J39" i="2" s="1"/>
  <c r="K39" i="2" s="1"/>
  <c r="E40" i="2" s="1"/>
  <c r="A39" i="2"/>
  <c r="C42" i="9" a="1"/>
  <c r="C42" i="9" s="1"/>
  <c r="F43" i="9"/>
  <c r="G43" i="9" s="1"/>
  <c r="H43" i="9" s="1"/>
  <c r="I43" i="9" s="1"/>
  <c r="J43" i="9" s="1"/>
  <c r="K43" i="9" s="1"/>
  <c r="E44" i="9" s="1"/>
  <c r="A43" i="9"/>
  <c r="F42" i="8"/>
  <c r="G42" i="8" s="1"/>
  <c r="H42" i="8" s="1"/>
  <c r="I42" i="8" s="1"/>
  <c r="J42" i="8" s="1"/>
  <c r="K42" i="8" s="1"/>
  <c r="E43" i="8" s="1"/>
  <c r="A42" i="8"/>
  <c r="A43" i="6"/>
  <c r="F43" i="6"/>
  <c r="G43" i="6" s="1"/>
  <c r="H43" i="6" s="1"/>
  <c r="I43" i="6" s="1"/>
  <c r="J43" i="6" s="1"/>
  <c r="K43" i="6" s="1"/>
  <c r="E44" i="6" s="1"/>
  <c r="C39" i="2" l="1" a="1"/>
  <c r="C39" i="2" s="1"/>
  <c r="C42" i="8" a="1"/>
  <c r="C42" i="8" s="1"/>
  <c r="F40" i="2"/>
  <c r="G40" i="2" s="1"/>
  <c r="H40" i="2" s="1"/>
  <c r="I40" i="2" s="1"/>
  <c r="J40" i="2" s="1"/>
  <c r="K40" i="2" s="1"/>
  <c r="E41" i="2" s="1"/>
  <c r="A40" i="2"/>
  <c r="C43" i="9" a="1"/>
  <c r="C43" i="9" s="1"/>
  <c r="F44" i="9"/>
  <c r="G44" i="9" s="1"/>
  <c r="H44" i="9" s="1"/>
  <c r="I44" i="9" s="1"/>
  <c r="J44" i="9" s="1"/>
  <c r="K44" i="9" s="1"/>
  <c r="E45" i="9" s="1"/>
  <c r="A44" i="9"/>
  <c r="F43" i="8"/>
  <c r="G43" i="8" s="1"/>
  <c r="H43" i="8" s="1"/>
  <c r="I43" i="8" s="1"/>
  <c r="J43" i="8" s="1"/>
  <c r="K43" i="8" s="1"/>
  <c r="E44" i="8" s="1"/>
  <c r="A43" i="8"/>
  <c r="F44" i="6"/>
  <c r="G44" i="6" s="1"/>
  <c r="H44" i="6" s="1"/>
  <c r="I44" i="6" s="1"/>
  <c r="J44" i="6" s="1"/>
  <c r="K44" i="6" s="1"/>
  <c r="E45" i="6" s="1"/>
  <c r="A44" i="6"/>
  <c r="C43" i="6" a="1"/>
  <c r="C43" i="6" s="1"/>
  <c r="C40" i="2" l="1" a="1"/>
  <c r="C40" i="2" s="1"/>
  <c r="F41" i="2"/>
  <c r="G41" i="2" s="1"/>
  <c r="H41" i="2" s="1"/>
  <c r="I41" i="2" s="1"/>
  <c r="J41" i="2" s="1"/>
  <c r="K41" i="2" s="1"/>
  <c r="E42" i="2" s="1"/>
  <c r="A41" i="2"/>
  <c r="C43" i="8" a="1"/>
  <c r="C43" i="8" s="1"/>
  <c r="C44" i="6" a="1"/>
  <c r="C44" i="6" s="1"/>
  <c r="F45" i="9"/>
  <c r="G45" i="9" s="1"/>
  <c r="H45" i="9" s="1"/>
  <c r="I45" i="9" s="1"/>
  <c r="J45" i="9" s="1"/>
  <c r="K45" i="9" s="1"/>
  <c r="E46" i="9" s="1"/>
  <c r="A45" i="9"/>
  <c r="C44" i="9" a="1"/>
  <c r="C44" i="9" s="1"/>
  <c r="F44" i="8"/>
  <c r="G44" i="8" s="1"/>
  <c r="H44" i="8" s="1"/>
  <c r="I44" i="8" s="1"/>
  <c r="J44" i="8" s="1"/>
  <c r="K44" i="8" s="1"/>
  <c r="E45" i="8" s="1"/>
  <c r="A44" i="8"/>
  <c r="A45" i="6"/>
  <c r="F45" i="6"/>
  <c r="G45" i="6" s="1"/>
  <c r="H45" i="6" s="1"/>
  <c r="I45" i="6" s="1"/>
  <c r="J45" i="6" s="1"/>
  <c r="K45" i="6" s="1"/>
  <c r="E46" i="6" s="1"/>
  <c r="C41" i="2" l="1" a="1"/>
  <c r="C41" i="2" s="1"/>
  <c r="F42" i="2"/>
  <c r="G42" i="2" s="1"/>
  <c r="H42" i="2" s="1"/>
  <c r="I42" i="2" s="1"/>
  <c r="J42" i="2" s="1"/>
  <c r="K42" i="2" s="1"/>
  <c r="E43" i="2" s="1"/>
  <c r="A42" i="2"/>
  <c r="C44" i="8" a="1"/>
  <c r="C44" i="8" s="1"/>
  <c r="F46" i="9"/>
  <c r="G46" i="9" s="1"/>
  <c r="H46" i="9" s="1"/>
  <c r="I46" i="9" s="1"/>
  <c r="J46" i="9" s="1"/>
  <c r="K46" i="9" s="1"/>
  <c r="E47" i="9" s="1"/>
  <c r="A46" i="9"/>
  <c r="C45" i="9" a="1"/>
  <c r="C45" i="9" s="1"/>
  <c r="F45" i="8"/>
  <c r="G45" i="8" s="1"/>
  <c r="H45" i="8" s="1"/>
  <c r="I45" i="8" s="1"/>
  <c r="J45" i="8" s="1"/>
  <c r="K45" i="8" s="1"/>
  <c r="E46" i="8" s="1"/>
  <c r="A45" i="8"/>
  <c r="F46" i="6"/>
  <c r="G46" i="6" s="1"/>
  <c r="H46" i="6" s="1"/>
  <c r="I46" i="6" s="1"/>
  <c r="J46" i="6" s="1"/>
  <c r="K46" i="6" s="1"/>
  <c r="E47" i="6" s="1"/>
  <c r="A46" i="6"/>
  <c r="C45" i="6" a="1"/>
  <c r="C45" i="6" s="1"/>
  <c r="C42" i="2" l="1" a="1"/>
  <c r="C42" i="2" s="1"/>
  <c r="A43" i="2"/>
  <c r="F43" i="2"/>
  <c r="G43" i="2" s="1"/>
  <c r="H43" i="2" s="1"/>
  <c r="I43" i="2" s="1"/>
  <c r="J43" i="2" s="1"/>
  <c r="K43" i="2" s="1"/>
  <c r="E44" i="2" s="1"/>
  <c r="C45" i="8" a="1"/>
  <c r="C45" i="8" s="1"/>
  <c r="C46" i="6" a="1"/>
  <c r="C46" i="6" s="1"/>
  <c r="C46" i="9" a="1"/>
  <c r="C46" i="9" s="1"/>
  <c r="F47" i="9"/>
  <c r="G47" i="9" s="1"/>
  <c r="H47" i="9" s="1"/>
  <c r="I47" i="9" s="1"/>
  <c r="J47" i="9" s="1"/>
  <c r="K47" i="9" s="1"/>
  <c r="E48" i="9" s="1"/>
  <c r="A47" i="9"/>
  <c r="F46" i="8"/>
  <c r="G46" i="8" s="1"/>
  <c r="H46" i="8" s="1"/>
  <c r="I46" i="8" s="1"/>
  <c r="J46" i="8" s="1"/>
  <c r="K46" i="8" s="1"/>
  <c r="E47" i="8" s="1"/>
  <c r="A46" i="8"/>
  <c r="A47" i="6"/>
  <c r="F47" i="6"/>
  <c r="G47" i="6" s="1"/>
  <c r="H47" i="6" s="1"/>
  <c r="I47" i="6" s="1"/>
  <c r="J47" i="6" s="1"/>
  <c r="K47" i="6" s="1"/>
  <c r="E48" i="6" s="1"/>
  <c r="C43" i="2" l="1" a="1"/>
  <c r="C43" i="2" s="1"/>
  <c r="F44" i="2"/>
  <c r="G44" i="2" s="1"/>
  <c r="H44" i="2" s="1"/>
  <c r="I44" i="2" s="1"/>
  <c r="J44" i="2" s="1"/>
  <c r="K44" i="2" s="1"/>
  <c r="E45" i="2" s="1"/>
  <c r="A44" i="2"/>
  <c r="C46" i="8" a="1"/>
  <c r="C46" i="8" s="1"/>
  <c r="C47" i="6" a="1"/>
  <c r="C47" i="6" s="1"/>
  <c r="C47" i="9" a="1"/>
  <c r="C47" i="9" s="1"/>
  <c r="F48" i="9"/>
  <c r="G48" i="9" s="1"/>
  <c r="H48" i="9" s="1"/>
  <c r="I48" i="9" s="1"/>
  <c r="J48" i="9" s="1"/>
  <c r="K48" i="9" s="1"/>
  <c r="E49" i="9" s="1"/>
  <c r="A48" i="9"/>
  <c r="F47" i="8"/>
  <c r="G47" i="8" s="1"/>
  <c r="H47" i="8" s="1"/>
  <c r="I47" i="8" s="1"/>
  <c r="J47" i="8" s="1"/>
  <c r="K47" i="8" s="1"/>
  <c r="E48" i="8" s="1"/>
  <c r="A47" i="8"/>
  <c r="F48" i="6"/>
  <c r="G48" i="6" s="1"/>
  <c r="H48" i="6" s="1"/>
  <c r="I48" i="6" s="1"/>
  <c r="J48" i="6" s="1"/>
  <c r="K48" i="6" s="1"/>
  <c r="E49" i="6" s="1"/>
  <c r="A48" i="6"/>
  <c r="C48" i="6" a="1"/>
  <c r="C48" i="6" s="1"/>
  <c r="C44" i="2" l="1" a="1"/>
  <c r="C44" i="2" s="1"/>
  <c r="F45" i="2"/>
  <c r="G45" i="2" s="1"/>
  <c r="H45" i="2" s="1"/>
  <c r="I45" i="2" s="1"/>
  <c r="J45" i="2" s="1"/>
  <c r="K45" i="2" s="1"/>
  <c r="E46" i="2" s="1"/>
  <c r="A45" i="2"/>
  <c r="C47" i="8" a="1"/>
  <c r="C47" i="8" s="1"/>
  <c r="C48" i="9" a="1"/>
  <c r="C48" i="9" s="1"/>
  <c r="F49" i="9"/>
  <c r="G49" i="9" s="1"/>
  <c r="H49" i="9" s="1"/>
  <c r="I49" i="9" s="1"/>
  <c r="J49" i="9" s="1"/>
  <c r="K49" i="9" s="1"/>
  <c r="E50" i="9" s="1"/>
  <c r="A49" i="9"/>
  <c r="F48" i="8"/>
  <c r="G48" i="8" s="1"/>
  <c r="H48" i="8" s="1"/>
  <c r="I48" i="8" s="1"/>
  <c r="J48" i="8" s="1"/>
  <c r="K48" i="8" s="1"/>
  <c r="E49" i="8" s="1"/>
  <c r="A48" i="8"/>
  <c r="F49" i="6"/>
  <c r="G49" i="6" s="1"/>
  <c r="H49" i="6" s="1"/>
  <c r="I49" i="6" s="1"/>
  <c r="J49" i="6" s="1"/>
  <c r="K49" i="6" s="1"/>
  <c r="E50" i="6" s="1"/>
  <c r="A49" i="6"/>
  <c r="C45" i="2" l="1" a="1"/>
  <c r="C45" i="2" s="1"/>
  <c r="A46" i="2"/>
  <c r="F46" i="2"/>
  <c r="G46" i="2" s="1"/>
  <c r="H46" i="2" s="1"/>
  <c r="I46" i="2" s="1"/>
  <c r="J46" i="2" s="1"/>
  <c r="K46" i="2" s="1"/>
  <c r="E47" i="2" s="1"/>
  <c r="C48" i="8" a="1"/>
  <c r="C48" i="8" s="1"/>
  <c r="C49" i="6" a="1"/>
  <c r="C49" i="6" s="1"/>
  <c r="C49" i="9" a="1"/>
  <c r="C49" i="9" s="1"/>
  <c r="F50" i="9"/>
  <c r="G50" i="9" s="1"/>
  <c r="H50" i="9" s="1"/>
  <c r="I50" i="9" s="1"/>
  <c r="J50" i="9" s="1"/>
  <c r="K50" i="9" s="1"/>
  <c r="E51" i="9" s="1"/>
  <c r="A50" i="9"/>
  <c r="F49" i="8"/>
  <c r="G49" i="8" s="1"/>
  <c r="H49" i="8" s="1"/>
  <c r="I49" i="8" s="1"/>
  <c r="J49" i="8" s="1"/>
  <c r="K49" i="8" s="1"/>
  <c r="E50" i="8" s="1"/>
  <c r="A49" i="8"/>
  <c r="C49" i="8" a="1"/>
  <c r="C49" i="8" s="1"/>
  <c r="F50" i="6"/>
  <c r="G50" i="6" s="1"/>
  <c r="H50" i="6" s="1"/>
  <c r="I50" i="6" s="1"/>
  <c r="J50" i="6" s="1"/>
  <c r="K50" i="6" s="1"/>
  <c r="E51" i="6" s="1"/>
  <c r="A50" i="6"/>
  <c r="C46" i="2" l="1" a="1"/>
  <c r="C46" i="2" s="1"/>
  <c r="F47" i="2"/>
  <c r="G47" i="2" s="1"/>
  <c r="H47" i="2" s="1"/>
  <c r="I47" i="2" s="1"/>
  <c r="J47" i="2" s="1"/>
  <c r="K47" i="2" s="1"/>
  <c r="E48" i="2" s="1"/>
  <c r="A47" i="2"/>
  <c r="C50" i="6" a="1"/>
  <c r="C50" i="6" s="1"/>
  <c r="C50" i="9" a="1"/>
  <c r="C50" i="9" s="1"/>
  <c r="F51" i="9"/>
  <c r="G51" i="9" s="1"/>
  <c r="H51" i="9" s="1"/>
  <c r="I51" i="9" s="1"/>
  <c r="J51" i="9" s="1"/>
  <c r="K51" i="9" s="1"/>
  <c r="E52" i="9" s="1"/>
  <c r="A51" i="9"/>
  <c r="F50" i="8"/>
  <c r="G50" i="8" s="1"/>
  <c r="H50" i="8" s="1"/>
  <c r="I50" i="8" s="1"/>
  <c r="J50" i="8" s="1"/>
  <c r="K50" i="8" s="1"/>
  <c r="E51" i="8" s="1"/>
  <c r="A50" i="8"/>
  <c r="F51" i="6"/>
  <c r="G51" i="6" s="1"/>
  <c r="H51" i="6" s="1"/>
  <c r="I51" i="6" s="1"/>
  <c r="J51" i="6" s="1"/>
  <c r="K51" i="6" s="1"/>
  <c r="E52" i="6" s="1"/>
  <c r="A51" i="6"/>
  <c r="C47" i="2" l="1" a="1"/>
  <c r="C47" i="2" s="1"/>
  <c r="C50" i="8" a="1"/>
  <c r="C50" i="8" s="1"/>
  <c r="F48" i="2"/>
  <c r="G48" i="2" s="1"/>
  <c r="H48" i="2" s="1"/>
  <c r="I48" i="2" s="1"/>
  <c r="J48" i="2" s="1"/>
  <c r="K48" i="2" s="1"/>
  <c r="E49" i="2" s="1"/>
  <c r="A48" i="2"/>
  <c r="C48" i="2" a="1"/>
  <c r="C48" i="2" s="1"/>
  <c r="C51" i="6" a="1"/>
  <c r="C51" i="6" s="1"/>
  <c r="C51" i="9" a="1"/>
  <c r="C51" i="9" s="1"/>
  <c r="F52" i="9"/>
  <c r="G52" i="9" s="1"/>
  <c r="H52" i="9" s="1"/>
  <c r="I52" i="9" s="1"/>
  <c r="J52" i="9" s="1"/>
  <c r="K52" i="9" s="1"/>
  <c r="E53" i="9" s="1"/>
  <c r="A52" i="9"/>
  <c r="F51" i="8"/>
  <c r="G51" i="8" s="1"/>
  <c r="H51" i="8" s="1"/>
  <c r="I51" i="8" s="1"/>
  <c r="J51" i="8" s="1"/>
  <c r="K51" i="8" s="1"/>
  <c r="E52" i="8" s="1"/>
  <c r="A51" i="8"/>
  <c r="A52" i="6"/>
  <c r="F52" i="6"/>
  <c r="G52" i="6" s="1"/>
  <c r="H52" i="6" s="1"/>
  <c r="I52" i="6" s="1"/>
  <c r="J52" i="6" s="1"/>
  <c r="K52" i="6" s="1"/>
  <c r="E53" i="6" s="1"/>
  <c r="A49" i="2" l="1"/>
  <c r="F49" i="2"/>
  <c r="G49" i="2" s="1"/>
  <c r="H49" i="2" s="1"/>
  <c r="I49" i="2" s="1"/>
  <c r="J49" i="2" s="1"/>
  <c r="K49" i="2" s="1"/>
  <c r="E50" i="2" s="1"/>
  <c r="C52" i="6" a="1"/>
  <c r="C52" i="6" s="1"/>
  <c r="C51" i="8" a="1"/>
  <c r="C51" i="8" s="1"/>
  <c r="C52" i="9" a="1"/>
  <c r="C52" i="9" s="1"/>
  <c r="F53" i="9"/>
  <c r="G53" i="9" s="1"/>
  <c r="H53" i="9" s="1"/>
  <c r="I53" i="9" s="1"/>
  <c r="J53" i="9" s="1"/>
  <c r="K53" i="9" s="1"/>
  <c r="E54" i="9" s="1"/>
  <c r="A53" i="9"/>
  <c r="F52" i="8"/>
  <c r="G52" i="8" s="1"/>
  <c r="H52" i="8" s="1"/>
  <c r="I52" i="8" s="1"/>
  <c r="J52" i="8" s="1"/>
  <c r="K52" i="8" s="1"/>
  <c r="E53" i="8" s="1"/>
  <c r="A52" i="8"/>
  <c r="F53" i="6"/>
  <c r="G53" i="6" s="1"/>
  <c r="H53" i="6" s="1"/>
  <c r="I53" i="6" s="1"/>
  <c r="J53" i="6" s="1"/>
  <c r="K53" i="6" s="1"/>
  <c r="E54" i="6" s="1"/>
  <c r="A53" i="6"/>
  <c r="C49" i="2" l="1" a="1"/>
  <c r="C49" i="2" s="1"/>
  <c r="A50" i="2"/>
  <c r="F50" i="2"/>
  <c r="G50" i="2" s="1"/>
  <c r="H50" i="2" s="1"/>
  <c r="I50" i="2" s="1"/>
  <c r="J50" i="2" s="1"/>
  <c r="K50" i="2" s="1"/>
  <c r="E51" i="2" s="1"/>
  <c r="C52" i="8" a="1"/>
  <c r="C52" i="8" s="1"/>
  <c r="C53" i="6" a="1"/>
  <c r="C53" i="6" s="1"/>
  <c r="C53" i="9" a="1"/>
  <c r="C53" i="9" s="1"/>
  <c r="F54" i="9"/>
  <c r="G54" i="9" s="1"/>
  <c r="H54" i="9" s="1"/>
  <c r="I54" i="9" s="1"/>
  <c r="J54" i="9" s="1"/>
  <c r="K54" i="9" s="1"/>
  <c r="E55" i="9" s="1"/>
  <c r="A54" i="9"/>
  <c r="F53" i="8"/>
  <c r="G53" i="8" s="1"/>
  <c r="H53" i="8" s="1"/>
  <c r="I53" i="8" s="1"/>
  <c r="J53" i="8" s="1"/>
  <c r="K53" i="8" s="1"/>
  <c r="E54" i="8" s="1"/>
  <c r="A53" i="8"/>
  <c r="F54" i="6"/>
  <c r="G54" i="6" s="1"/>
  <c r="H54" i="6" s="1"/>
  <c r="I54" i="6" s="1"/>
  <c r="J54" i="6" s="1"/>
  <c r="K54" i="6" s="1"/>
  <c r="E55" i="6" s="1"/>
  <c r="A54" i="6"/>
  <c r="C50" i="2" l="1" a="1"/>
  <c r="C50" i="2" s="1"/>
  <c r="F51" i="2"/>
  <c r="G51" i="2" s="1"/>
  <c r="H51" i="2" s="1"/>
  <c r="I51" i="2" s="1"/>
  <c r="J51" i="2" s="1"/>
  <c r="K51" i="2" s="1"/>
  <c r="E52" i="2" s="1"/>
  <c r="A51" i="2"/>
  <c r="C53" i="8" a="1"/>
  <c r="C53" i="8" s="1"/>
  <c r="C54" i="6" a="1"/>
  <c r="C54" i="6" s="1"/>
  <c r="C54" i="9" a="1"/>
  <c r="C54" i="9" s="1"/>
  <c r="F55" i="9"/>
  <c r="G55" i="9" s="1"/>
  <c r="H55" i="9" s="1"/>
  <c r="I55" i="9" s="1"/>
  <c r="J55" i="9" s="1"/>
  <c r="K55" i="9" s="1"/>
  <c r="E56" i="9" s="1"/>
  <c r="A55" i="9"/>
  <c r="F54" i="8"/>
  <c r="G54" i="8" s="1"/>
  <c r="H54" i="8" s="1"/>
  <c r="I54" i="8" s="1"/>
  <c r="J54" i="8" s="1"/>
  <c r="K54" i="8" s="1"/>
  <c r="E55" i="8" s="1"/>
  <c r="A54" i="8"/>
  <c r="F55" i="6"/>
  <c r="G55" i="6" s="1"/>
  <c r="H55" i="6" s="1"/>
  <c r="I55" i="6" s="1"/>
  <c r="J55" i="6" s="1"/>
  <c r="K55" i="6" s="1"/>
  <c r="E56" i="6" s="1"/>
  <c r="A55" i="6"/>
  <c r="C55" i="6" a="1"/>
  <c r="C55" i="6" s="1"/>
  <c r="C51" i="2" l="1" a="1"/>
  <c r="C51" i="2" s="1"/>
  <c r="A52" i="2"/>
  <c r="F52" i="2"/>
  <c r="G52" i="2" s="1"/>
  <c r="H52" i="2" s="1"/>
  <c r="I52" i="2" s="1"/>
  <c r="J52" i="2" s="1"/>
  <c r="K52" i="2" s="1"/>
  <c r="E53" i="2" s="1"/>
  <c r="C54" i="8" a="1"/>
  <c r="C54" i="8" s="1"/>
  <c r="C55" i="9" a="1"/>
  <c r="C55" i="9" s="1"/>
  <c r="F56" i="9"/>
  <c r="G56" i="9" s="1"/>
  <c r="H56" i="9" s="1"/>
  <c r="I56" i="9" s="1"/>
  <c r="J56" i="9" s="1"/>
  <c r="K56" i="9" s="1"/>
  <c r="E57" i="9" s="1"/>
  <c r="A56" i="9"/>
  <c r="F55" i="8"/>
  <c r="G55" i="8" s="1"/>
  <c r="H55" i="8" s="1"/>
  <c r="I55" i="8" s="1"/>
  <c r="J55" i="8" s="1"/>
  <c r="K55" i="8" s="1"/>
  <c r="E56" i="8" s="1"/>
  <c r="A55" i="8"/>
  <c r="F56" i="6"/>
  <c r="G56" i="6" s="1"/>
  <c r="H56" i="6" s="1"/>
  <c r="I56" i="6" s="1"/>
  <c r="J56" i="6" s="1"/>
  <c r="K56" i="6" s="1"/>
  <c r="E57" i="6" s="1"/>
  <c r="A56" i="6"/>
  <c r="C52" i="2" l="1" a="1"/>
  <c r="C52" i="2" s="1"/>
  <c r="A53" i="2"/>
  <c r="F53" i="2"/>
  <c r="G53" i="2" s="1"/>
  <c r="H53" i="2" s="1"/>
  <c r="I53" i="2" s="1"/>
  <c r="J53" i="2" s="1"/>
  <c r="K53" i="2" s="1"/>
  <c r="E54" i="2" s="1"/>
  <c r="C55" i="8" a="1"/>
  <c r="C55" i="8" s="1"/>
  <c r="C56" i="6" a="1"/>
  <c r="C56" i="6" s="1"/>
  <c r="C56" i="9" a="1"/>
  <c r="C56" i="9" s="1"/>
  <c r="F57" i="9"/>
  <c r="G57" i="9" s="1"/>
  <c r="H57" i="9" s="1"/>
  <c r="I57" i="9" s="1"/>
  <c r="J57" i="9" s="1"/>
  <c r="K57" i="9" s="1"/>
  <c r="E58" i="9" s="1"/>
  <c r="A57" i="9"/>
  <c r="F56" i="8"/>
  <c r="G56" i="8" s="1"/>
  <c r="H56" i="8" s="1"/>
  <c r="I56" i="8" s="1"/>
  <c r="J56" i="8" s="1"/>
  <c r="K56" i="8" s="1"/>
  <c r="E57" i="8" s="1"/>
  <c r="A56" i="8"/>
  <c r="F57" i="6"/>
  <c r="G57" i="6" s="1"/>
  <c r="H57" i="6" s="1"/>
  <c r="I57" i="6" s="1"/>
  <c r="J57" i="6" s="1"/>
  <c r="K57" i="6" s="1"/>
  <c r="E58" i="6" s="1"/>
  <c r="A57" i="6"/>
  <c r="C53" i="2" l="1" a="1"/>
  <c r="C53" i="2" s="1"/>
  <c r="A54" i="2"/>
  <c r="F54" i="2"/>
  <c r="G54" i="2" s="1"/>
  <c r="H54" i="2" s="1"/>
  <c r="I54" i="2" s="1"/>
  <c r="J54" i="2" s="1"/>
  <c r="K54" i="2" s="1"/>
  <c r="E55" i="2" s="1"/>
  <c r="C57" i="6" a="1"/>
  <c r="C57" i="6" s="1"/>
  <c r="C57" i="9" a="1"/>
  <c r="C57" i="9" s="1"/>
  <c r="F58" i="9"/>
  <c r="G58" i="9" s="1"/>
  <c r="H58" i="9" s="1"/>
  <c r="I58" i="9" s="1"/>
  <c r="J58" i="9" s="1"/>
  <c r="K58" i="9" s="1"/>
  <c r="E59" i="9" s="1"/>
  <c r="A58" i="9"/>
  <c r="F57" i="8"/>
  <c r="G57" i="8" s="1"/>
  <c r="H57" i="8" s="1"/>
  <c r="I57" i="8" s="1"/>
  <c r="J57" i="8" s="1"/>
  <c r="K57" i="8" s="1"/>
  <c r="E58" i="8" s="1"/>
  <c r="A57" i="8"/>
  <c r="C56" i="8" a="1"/>
  <c r="C56" i="8" s="1"/>
  <c r="F58" i="6"/>
  <c r="G58" i="6" s="1"/>
  <c r="H58" i="6" s="1"/>
  <c r="I58" i="6" s="1"/>
  <c r="J58" i="6" s="1"/>
  <c r="K58" i="6" s="1"/>
  <c r="E59" i="6" s="1"/>
  <c r="A58" i="6"/>
  <c r="F55" i="2" l="1"/>
  <c r="G55" i="2" s="1"/>
  <c r="H55" i="2" s="1"/>
  <c r="I55" i="2" s="1"/>
  <c r="J55" i="2" s="1"/>
  <c r="K55" i="2" s="1"/>
  <c r="E56" i="2" s="1"/>
  <c r="C55" i="2" a="1"/>
  <c r="C55" i="2" s="1"/>
  <c r="A55" i="2"/>
  <c r="C54" i="2" a="1"/>
  <c r="C54" i="2" s="1"/>
  <c r="C58" i="6" a="1"/>
  <c r="C58" i="6" s="1"/>
  <c r="C58" i="9" a="1"/>
  <c r="C58" i="9" s="1"/>
  <c r="C57" i="8" a="1"/>
  <c r="C57" i="8" s="1"/>
  <c r="F59" i="9"/>
  <c r="G59" i="9" s="1"/>
  <c r="H59" i="9" s="1"/>
  <c r="I59" i="9" s="1"/>
  <c r="J59" i="9" s="1"/>
  <c r="K59" i="9" s="1"/>
  <c r="A59" i="9"/>
  <c r="F58" i="8"/>
  <c r="G58" i="8" s="1"/>
  <c r="H58" i="8" s="1"/>
  <c r="I58" i="8" s="1"/>
  <c r="J58" i="8" s="1"/>
  <c r="K58" i="8" s="1"/>
  <c r="E59" i="8" s="1"/>
  <c r="A58" i="8"/>
  <c r="A59" i="6"/>
  <c r="F59" i="6"/>
  <c r="G59" i="6" s="1"/>
  <c r="H59" i="6" s="1"/>
  <c r="I59" i="6" s="1"/>
  <c r="J59" i="6" s="1"/>
  <c r="K59" i="6" s="1"/>
  <c r="E60" i="6" s="1"/>
  <c r="A56" i="2" l="1"/>
  <c r="F56" i="2"/>
  <c r="G56" i="2" s="1"/>
  <c r="H56" i="2" s="1"/>
  <c r="I56" i="2" s="1"/>
  <c r="J56" i="2" s="1"/>
  <c r="K56" i="2" s="1"/>
  <c r="E57" i="2" s="1"/>
  <c r="C59" i="9" a="1"/>
  <c r="C59" i="9" s="1"/>
  <c r="F59" i="8"/>
  <c r="G59" i="8" s="1"/>
  <c r="H59" i="8" s="1"/>
  <c r="I59" i="8" s="1"/>
  <c r="J59" i="8" s="1"/>
  <c r="K59" i="8" s="1"/>
  <c r="A59" i="8"/>
  <c r="C58" i="8" a="1"/>
  <c r="C58" i="8" s="1"/>
  <c r="F60" i="6"/>
  <c r="G60" i="6" s="1"/>
  <c r="H60" i="6" s="1"/>
  <c r="I60" i="6" s="1"/>
  <c r="J60" i="6" s="1"/>
  <c r="K60" i="6" s="1"/>
  <c r="E61" i="6" s="1"/>
  <c r="A60" i="6"/>
  <c r="C59" i="6" a="1"/>
  <c r="C59" i="6" s="1"/>
  <c r="C60" i="6" l="1" a="1"/>
  <c r="C60" i="6" s="1"/>
  <c r="C56" i="2" a="1"/>
  <c r="C56" i="2" s="1"/>
  <c r="A57" i="2"/>
  <c r="F57" i="2"/>
  <c r="G57" i="2" s="1"/>
  <c r="H57" i="2" s="1"/>
  <c r="I57" i="2" s="1"/>
  <c r="J57" i="2" s="1"/>
  <c r="K57" i="2" s="1"/>
  <c r="E58" i="2" s="1"/>
  <c r="C59" i="8" a="1"/>
  <c r="C59" i="8" s="1"/>
  <c r="F61" i="6"/>
  <c r="G61" i="6" s="1"/>
  <c r="H61" i="6" s="1"/>
  <c r="I61" i="6" s="1"/>
  <c r="J61" i="6" s="1"/>
  <c r="K61" i="6" s="1"/>
  <c r="E62" i="6" s="1"/>
  <c r="A61" i="6"/>
  <c r="C61" i="6" l="1" a="1"/>
  <c r="C61" i="6" s="1"/>
  <c r="C57" i="2" a="1"/>
  <c r="C57" i="2" s="1"/>
  <c r="A58" i="2"/>
  <c r="F58" i="2"/>
  <c r="G58" i="2" s="1"/>
  <c r="H58" i="2" s="1"/>
  <c r="I58" i="2" s="1"/>
  <c r="J58" i="2" s="1"/>
  <c r="K58" i="2" s="1"/>
  <c r="E59" i="2" s="1"/>
  <c r="F62" i="6"/>
  <c r="G62" i="6" s="1"/>
  <c r="H62" i="6" s="1"/>
  <c r="I62" i="6" s="1"/>
  <c r="J62" i="6" s="1"/>
  <c r="K62" i="6" s="1"/>
  <c r="E63" i="6" s="1"/>
  <c r="A62" i="6"/>
  <c r="C62" i="6" l="1" a="1"/>
  <c r="C62" i="6" s="1"/>
  <c r="C58" i="2" a="1"/>
  <c r="C58" i="2" s="1"/>
  <c r="F59" i="2"/>
  <c r="G59" i="2" s="1"/>
  <c r="H59" i="2" s="1"/>
  <c r="I59" i="2" s="1"/>
  <c r="J59" i="2" s="1"/>
  <c r="K59" i="2" s="1"/>
  <c r="A59" i="2"/>
  <c r="A63" i="6"/>
  <c r="F63" i="6"/>
  <c r="G63" i="6" s="1"/>
  <c r="H63" i="6" s="1"/>
  <c r="I63" i="6" s="1"/>
  <c r="J63" i="6" s="1"/>
  <c r="K63" i="6" s="1"/>
  <c r="E64" i="6" s="1"/>
  <c r="C59" i="2" l="1" a="1"/>
  <c r="C59" i="2" s="1"/>
  <c r="F64" i="6"/>
  <c r="G64" i="6" s="1"/>
  <c r="H64" i="6" s="1"/>
  <c r="I64" i="6" s="1"/>
  <c r="J64" i="6" s="1"/>
  <c r="K64" i="6" s="1"/>
  <c r="E65" i="6" s="1"/>
  <c r="A64" i="6"/>
  <c r="C64" i="6" a="1"/>
  <c r="C64" i="6" s="1"/>
  <c r="C63" i="6" a="1"/>
  <c r="C63" i="6" s="1"/>
  <c r="F65" i="6" l="1"/>
  <c r="G65" i="6" s="1"/>
  <c r="H65" i="6" s="1"/>
  <c r="I65" i="6" s="1"/>
  <c r="J65" i="6" s="1"/>
  <c r="K65" i="6" s="1"/>
  <c r="E66" i="6" s="1"/>
  <c r="A65" i="6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a="1"/>
  <c r="C66" i="6" s="1"/>
  <c r="A67" i="6" l="1"/>
  <c r="F67" i="6"/>
  <c r="G67" i="6" s="1"/>
  <c r="H67" i="6" s="1"/>
  <c r="I67" i="6" s="1"/>
  <c r="J67" i="6" s="1"/>
  <c r="K67" i="6" s="1"/>
  <c r="E68" i="6" s="1"/>
  <c r="C67" i="6" l="1" a="1"/>
  <c r="C67" i="6" s="1"/>
  <c r="F68" i="6"/>
  <c r="G68" i="6" s="1"/>
  <c r="H68" i="6" s="1"/>
  <c r="I68" i="6" s="1"/>
  <c r="J68" i="6" s="1"/>
  <c r="K68" i="6" s="1"/>
  <c r="E69" i="6" s="1"/>
  <c r="A68" i="6"/>
  <c r="C68" i="6" a="1"/>
  <c r="C68" i="6" s="1"/>
  <c r="F69" i="6" l="1"/>
  <c r="G69" i="6" s="1"/>
  <c r="H69" i="6" s="1"/>
  <c r="I69" i="6" s="1"/>
  <c r="J69" i="6" s="1"/>
  <c r="K69" i="6" s="1"/>
  <c r="E70" i="6" s="1"/>
  <c r="A69" i="6"/>
  <c r="C69" i="6" a="1"/>
  <c r="C69" i="6" s="1"/>
  <c r="F70" i="6" l="1"/>
  <c r="G70" i="6" s="1"/>
  <c r="H70" i="6" s="1"/>
  <c r="I70" i="6" s="1"/>
  <c r="J70" i="6" s="1"/>
  <c r="K70" i="6" s="1"/>
  <c r="E71" i="6" s="1"/>
  <c r="A70" i="6"/>
  <c r="C70" i="6" a="1"/>
  <c r="C70" i="6" s="1"/>
  <c r="F71" i="6" l="1"/>
  <c r="G71" i="6" s="1"/>
  <c r="H71" i="6" s="1"/>
  <c r="I71" i="6" s="1"/>
  <c r="J71" i="6" s="1"/>
  <c r="K71" i="6" s="1"/>
  <c r="E72" i="6" s="1"/>
  <c r="A71" i="6"/>
  <c r="C71" i="6" a="1"/>
  <c r="C71" i="6" s="1"/>
  <c r="A72" i="6" l="1"/>
  <c r="F72" i="6"/>
  <c r="G72" i="6" s="1"/>
  <c r="H72" i="6" s="1"/>
  <c r="I72" i="6" s="1"/>
  <c r="J72" i="6" s="1"/>
  <c r="K72" i="6" s="1"/>
  <c r="E73" i="6" s="1"/>
  <c r="A73" i="6" l="1"/>
  <c r="F73" i="6"/>
  <c r="G73" i="6" s="1"/>
  <c r="H73" i="6" s="1"/>
  <c r="I73" i="6" s="1"/>
  <c r="J73" i="6" s="1"/>
  <c r="K73" i="6" s="1"/>
  <c r="E74" i="6" s="1"/>
  <c r="C72" i="6" a="1"/>
  <c r="C72" i="6" s="1"/>
  <c r="C73" i="6" l="1" a="1"/>
  <c r="C73" i="6" s="1"/>
  <c r="A74" i="6"/>
  <c r="F74" i="6"/>
  <c r="G74" i="6" s="1"/>
  <c r="H74" i="6" s="1"/>
  <c r="I74" i="6" s="1"/>
  <c r="J74" i="6" s="1"/>
  <c r="K74" i="6" s="1"/>
  <c r="E75" i="6" s="1"/>
  <c r="C74" i="6" l="1" a="1"/>
  <c r="C74" i="6" s="1"/>
  <c r="A75" i="6"/>
  <c r="F75" i="6"/>
  <c r="G75" i="6" s="1"/>
  <c r="H75" i="6" s="1"/>
  <c r="I75" i="6" s="1"/>
  <c r="J75" i="6" s="1"/>
  <c r="K75" i="6" s="1"/>
  <c r="E76" i="6" s="1"/>
  <c r="C75" i="6" l="1" a="1"/>
  <c r="C75" i="6" s="1"/>
  <c r="A76" i="6"/>
  <c r="F76" i="6"/>
  <c r="G76" i="6" s="1"/>
  <c r="H76" i="6" s="1"/>
  <c r="I76" i="6" s="1"/>
  <c r="J76" i="6" s="1"/>
  <c r="K76" i="6" s="1"/>
  <c r="E77" i="6" s="1"/>
  <c r="C76" i="6" l="1" a="1"/>
  <c r="C76" i="6" s="1"/>
  <c r="A77" i="6"/>
  <c r="F77" i="6"/>
  <c r="G77" i="6" s="1"/>
  <c r="H77" i="6" s="1"/>
  <c r="I77" i="6" s="1"/>
  <c r="J77" i="6" s="1"/>
  <c r="K77" i="6" s="1"/>
  <c r="E78" i="6" s="1"/>
  <c r="A78" i="6" l="1"/>
  <c r="F78" i="6"/>
  <c r="G78" i="6" s="1"/>
  <c r="H78" i="6" s="1"/>
  <c r="I78" i="6" s="1"/>
  <c r="J78" i="6" s="1"/>
  <c r="K78" i="6" s="1"/>
  <c r="E79" i="6" s="1"/>
  <c r="C77" i="6" a="1"/>
  <c r="C77" i="6" s="1"/>
  <c r="C78" i="6" l="1" a="1"/>
  <c r="C78" i="6" s="1"/>
  <c r="A79" i="6"/>
  <c r="F79" i="6"/>
  <c r="G79" i="6" s="1"/>
  <c r="H79" i="6" s="1"/>
  <c r="I79" i="6" s="1"/>
  <c r="J79" i="6" s="1"/>
  <c r="K79" i="6" s="1"/>
  <c r="E80" i="6" s="1"/>
  <c r="C79" i="6" l="1" a="1"/>
  <c r="C79" i="6" s="1"/>
  <c r="F80" i="6"/>
  <c r="G80" i="6" s="1"/>
  <c r="H80" i="6" s="1"/>
  <c r="I80" i="6" s="1"/>
  <c r="J80" i="6" s="1"/>
  <c r="K80" i="6" s="1"/>
  <c r="E81" i="6" s="1"/>
  <c r="A80" i="6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A82" i="6"/>
  <c r="F82" i="6"/>
  <c r="G82" i="6" s="1"/>
  <c r="H82" i="6" s="1"/>
  <c r="I82" i="6" s="1"/>
  <c r="J82" i="6" s="1"/>
  <c r="K82" i="6" s="1"/>
  <c r="E83" i="6" s="1"/>
  <c r="A83" i="6" l="1"/>
  <c r="F83" i="6"/>
  <c r="G83" i="6" s="1"/>
  <c r="H83" i="6" s="1"/>
  <c r="I83" i="6" s="1"/>
  <c r="J83" i="6" s="1"/>
  <c r="K83" i="6" s="1"/>
  <c r="E84" i="6" s="1"/>
  <c r="C82" i="6" a="1"/>
  <c r="C82" i="6" s="1"/>
  <c r="C83" i="6" l="1" a="1"/>
  <c r="C83" i="6" s="1"/>
  <c r="A84" i="6"/>
  <c r="F84" i="6"/>
  <c r="G84" i="6" s="1"/>
  <c r="H84" i="6" s="1"/>
  <c r="I84" i="6" s="1"/>
  <c r="J84" i="6" s="1"/>
  <c r="K84" i="6" s="1"/>
  <c r="E85" i="6" s="1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A86" i="6"/>
  <c r="F86" i="6"/>
  <c r="G86" i="6" s="1"/>
  <c r="H86" i="6" s="1"/>
  <c r="I86" i="6" s="1"/>
  <c r="J86" i="6" s="1"/>
  <c r="K86" i="6" s="1"/>
  <c r="E87" i="6" s="1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F88" i="6"/>
  <c r="G88" i="6" s="1"/>
  <c r="H88" i="6" s="1"/>
  <c r="I88" i="6" s="1"/>
  <c r="J88" i="6" s="1"/>
  <c r="K88" i="6" s="1"/>
  <c r="E89" i="6" s="1"/>
  <c r="A88" i="6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<sst xmlns="http://schemas.openxmlformats.org/spreadsheetml/2006/main" count="106" uniqueCount="76">
  <si>
    <t xml:space="preserve">Enjoy! </t>
  </si>
  <si>
    <t>HOLIDAY LOOKUP TABLE</t>
  </si>
  <si>
    <t>DATE</t>
  </si>
  <si>
    <t>DESCRIPTION</t>
  </si>
  <si>
    <t>Credits</t>
  </si>
  <si>
    <t>Auto-calculation of first day based on year cell provided by Todd Foster http://www.boidem.org/</t>
  </si>
  <si>
    <t>Automatic month calculation tip from Jim Service and "Jenny"</t>
  </si>
  <si>
    <t>The holidays in this table are calculated automatically. Change the year on Calendar worksheet to update this list</t>
  </si>
  <si>
    <t>Mo</t>
  </si>
  <si>
    <t>DoW</t>
  </si>
  <si>
    <t>NthWk</t>
  </si>
  <si>
    <t>NoMo</t>
  </si>
  <si>
    <t>Notes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</si>
  <si>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</si>
  <si>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</si>
  <si>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</si>
  <si>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</si>
  <si>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</si>
  <si>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</si>
  <si>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</si>
  <si>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</si>
  <si>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</si>
  <si>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</si>
  <si>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</si>
  <si>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</si>
  <si>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</si>
  <si>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</si>
  <si>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</si>
  <si>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</si>
  <si>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</si>
  <si>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Compact Calendar</t>
  </si>
  <si>
    <t>#</t>
  </si>
  <si>
    <t>ISO 8601 Week Information and calculation from http://www.rondebruin.nl/weeknumber.htm</t>
  </si>
  <si>
    <t>Sa</t>
  </si>
  <si>
    <t>Di</t>
  </si>
  <si>
    <t>Dimanche</t>
  </si>
  <si>
    <t>Lu</t>
  </si>
  <si>
    <t>Lundi</t>
  </si>
  <si>
    <t>Ma</t>
  </si>
  <si>
    <t>Mardi</t>
  </si>
  <si>
    <t>Me</t>
  </si>
  <si>
    <t>Mercredi</t>
  </si>
  <si>
    <t>Je</t>
  </si>
  <si>
    <t>Jeudi</t>
  </si>
  <si>
    <t>Ve</t>
  </si>
  <si>
    <t>Vendredi</t>
  </si>
  <si>
    <t>Samedi</t>
  </si>
  <si>
    <t>Nouvel An</t>
  </si>
  <si>
    <t>Lundi de Pâques</t>
  </si>
  <si>
    <t>Fête du travail</t>
  </si>
  <si>
    <t>Armistice 1945</t>
  </si>
  <si>
    <t>Ascension</t>
  </si>
  <si>
    <t>Fête nationale du 14 juillet</t>
  </si>
  <si>
    <t>Assomption</t>
  </si>
  <si>
    <t>Toussaint</t>
  </si>
  <si>
    <t>Armistice 1918</t>
  </si>
  <si>
    <t>Noël</t>
  </si>
  <si>
    <t>DATE DEBUT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</si>
  <si>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</si>
  <si>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</si>
  <si>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</si>
  <si>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</si>
  <si>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</si>
  <si>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</si>
  <si>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</si>
  <si>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</si>
  <si>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</si>
  <si>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</si>
  <si>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</si>
  <si>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>Cliquez sur l'onglet CALENDRIER</t>
  </si>
  <si>
    <t>Dave Shea, créateur du Compact Calendar</t>
  </si>
  <si>
    <t>Holiday calculations: http://www.cpearson.com/excel/holidays.htm</t>
  </si>
  <si>
    <t>Lundi de Pentecôte</t>
  </si>
  <si>
    <t>MOIS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</si>
  <si>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</si>
  <si>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davidseah.com/pceo/cal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</si>
</sst>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21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7" fillId="0" borderId="0" xfId="1" applyNumberFormat="1" applyFont="1"/>
    <xf numFmtId="164" fontId="5" fillId="4" borderId="0" xfId="1" applyNumberFormat="1" applyFont="1" applyFill="1" applyAlignment="1">
      <alignment horizontal="right"/>
    </xf>
    <xf numFmtId="164" fontId="5" fillId="4" borderId="0" xfId="1" applyNumberFormat="1" applyFont="1" applyFill="1" applyAlignment="1">
      <alignment horizontal="left"/>
    </xf>
    <xf numFmtId="0" fontId="5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4" fillId="5" borderId="0" xfId="0" applyFont="1" applyFill="1" applyBorder="1" applyAlignment="1"/>
    <xf numFmtId="0" fontId="11" fillId="2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2" fillId="7" borderId="0" xfId="1" applyFill="1"/>
    <xf numFmtId="164" fontId="16" fillId="0" borderId="0" xfId="1" applyNumberFormat="1" applyFont="1"/>
    <xf numFmtId="164" fontId="17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2" fillId="0" borderId="0" xfId="1" applyAlignment="1"/>
    <xf numFmtId="0" fontId="5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9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0" xfId="1" applyFont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18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0" fillId="9" borderId="0" xfId="0" applyFill="1"/>
    <xf numFmtId="0" fontId="2" fillId="9" borderId="0" xfId="0" applyFont="1" applyFill="1"/>
    <xf numFmtId="0" fontId="15" fillId="9" borderId="0" xfId="0" applyFont="1" applyFill="1" applyAlignment="1">
      <alignment horizontal="right" vertical="center"/>
    </xf>
    <xf numFmtId="0" fontId="2" fillId="9" borderId="0" xfId="0" applyFont="1" applyFill="1" applyAlignment="1">
      <alignment vertical="center"/>
    </xf>
    <xf numFmtId="14" fontId="15" fillId="0" borderId="0" xfId="0" applyNumberFormat="1" applyFont="1" applyFill="1" applyBorder="1" applyAlignment="1">
      <alignment horizontal="right" vertical="center" readingOrder="2"/>
    </xf>
    <xf numFmtId="0" fontId="14" fillId="5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left"/>
    </xf>
    <xf numFmtId="0" fontId="4" fillId="10" borderId="0" xfId="0" applyFont="1" applyFill="1" applyBorder="1" applyAlignment="1">
      <alignment horizontal="left"/>
    </xf>
    <xf numFmtId="14" fontId="15" fillId="9" borderId="0" xfId="0" applyNumberFormat="1" applyFont="1" applyFill="1" applyBorder="1" applyAlignment="1">
      <alignment horizontal="right" vertical="center" readingOrder="2"/>
    </xf>
    <xf numFmtId="0" fontId="20" fillId="10" borderId="0" xfId="0" applyFont="1" applyFill="1" applyBorder="1" applyAlignment="1">
      <alignment horizontal="left"/>
    </xf>
    <xf numFmtId="0" fontId="8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116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tabSelected="1" zoomScaleNormal="100" workbookViewId="0">
      <pane ySplit="5" topLeftCell="A6" activePane="bottomLeft" state="frozen"/>
      <selection pane="bottomLeft" activeCell="M20" sqref="M20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53"/>
      <c r="F5" s="53"/>
      <c r="G5" s="53"/>
      <c r="H5" s="53"/>
      <c r="I5" s="53"/>
      <c r="J5" s="53"/>
      <c r="K5" s="53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59" si="1">K6+1</f>
        <v>43101</v>
      </c>
      <c r="F7" s="50">
        <f t="shared" ref="F7:K22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14">
        <f t="shared" si="2"/>
        <v>43137</v>
      </c>
      <c r="G12" s="14">
        <f t="shared" si="2"/>
        <v>43138</v>
      </c>
      <c r="H12" s="14">
        <f t="shared" si="2"/>
        <v>43139</v>
      </c>
      <c r="I12" s="14">
        <f t="shared" si="2"/>
        <v>43140</v>
      </c>
      <c r="J12" s="52">
        <f t="shared" si="2"/>
        <v>43141</v>
      </c>
      <c r="K12" s="52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0">
        <f t="shared" si="1"/>
        <v>43143</v>
      </c>
      <c r="F13" s="50">
        <f t="shared" si="2"/>
        <v>43144</v>
      </c>
      <c r="G13" s="50">
        <f t="shared" si="2"/>
        <v>43145</v>
      </c>
      <c r="H13" s="50">
        <f t="shared" si="2"/>
        <v>43146</v>
      </c>
      <c r="I13" s="50">
        <f t="shared" si="2"/>
        <v>43147</v>
      </c>
      <c r="J13" s="52">
        <f t="shared" si="2"/>
        <v>43148</v>
      </c>
      <c r="K13" s="52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0">
        <f t="shared" si="1"/>
        <v>43150</v>
      </c>
      <c r="F14" s="50">
        <f t="shared" si="2"/>
        <v>43151</v>
      </c>
      <c r="G14" s="50">
        <f t="shared" si="2"/>
        <v>43152</v>
      </c>
      <c r="H14" s="50">
        <f t="shared" si="2"/>
        <v>43153</v>
      </c>
      <c r="I14" s="50">
        <f t="shared" si="2"/>
        <v>43154</v>
      </c>
      <c r="J14" s="52">
        <f t="shared" si="2"/>
        <v>43155</v>
      </c>
      <c r="K14" s="52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40">
        <f t="shared" si="1"/>
        <v>43157</v>
      </c>
      <c r="F15" s="40">
        <f t="shared" si="2"/>
        <v>43158</v>
      </c>
      <c r="G15" s="40">
        <f t="shared" si="2"/>
        <v>43159</v>
      </c>
      <c r="H15" s="40">
        <f t="shared" si="2"/>
        <v>43160</v>
      </c>
      <c r="I15" s="40">
        <f t="shared" si="2"/>
        <v>43161</v>
      </c>
      <c r="J15" s="40">
        <f t="shared" si="2"/>
        <v>43162</v>
      </c>
      <c r="K15" s="40">
        <f t="shared" si="2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43164</v>
      </c>
      <c r="F16" s="14">
        <f t="shared" si="2"/>
        <v>43165</v>
      </c>
      <c r="G16" s="14">
        <f t="shared" si="2"/>
        <v>43166</v>
      </c>
      <c r="H16" s="14">
        <f t="shared" si="2"/>
        <v>43167</v>
      </c>
      <c r="I16" s="14">
        <f t="shared" si="2"/>
        <v>43168</v>
      </c>
      <c r="J16" s="40">
        <f t="shared" si="2"/>
        <v>43169</v>
      </c>
      <c r="K16" s="40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14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52">
        <f t="shared" si="2"/>
        <v>43197</v>
      </c>
      <c r="K20" s="52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0">
        <f t="shared" si="1"/>
        <v>43199</v>
      </c>
      <c r="F21" s="50">
        <f t="shared" si="2"/>
        <v>43200</v>
      </c>
      <c r="G21" s="50">
        <f t="shared" si="2"/>
        <v>43201</v>
      </c>
      <c r="H21" s="50">
        <f t="shared" si="2"/>
        <v>43202</v>
      </c>
      <c r="I21" s="50">
        <f t="shared" si="2"/>
        <v>43203</v>
      </c>
      <c r="J21" s="52">
        <f t="shared" si="2"/>
        <v>43204</v>
      </c>
      <c r="K21" s="52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0">
        <f t="shared" si="1"/>
        <v>43206</v>
      </c>
      <c r="F22" s="50">
        <f t="shared" si="2"/>
        <v>43207</v>
      </c>
      <c r="G22" s="50">
        <f t="shared" si="2"/>
        <v>43208</v>
      </c>
      <c r="H22" s="50">
        <f t="shared" si="2"/>
        <v>43209</v>
      </c>
      <c r="I22" s="50">
        <f t="shared" si="2"/>
        <v>43210</v>
      </c>
      <c r="J22" s="52">
        <f t="shared" si="2"/>
        <v>43211</v>
      </c>
      <c r="K22" s="52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14">
        <f t="shared" si="1"/>
        <v>43213</v>
      </c>
      <c r="F23" s="14">
        <f t="shared" ref="F23:K54" si="4">E23+1</f>
        <v>43214</v>
      </c>
      <c r="G23" s="14">
        <f t="shared" si="4"/>
        <v>43215</v>
      </c>
      <c r="H23" s="14">
        <f t="shared" si="4"/>
        <v>43216</v>
      </c>
      <c r="I23" s="14">
        <f t="shared" si="4"/>
        <v>43217</v>
      </c>
      <c r="J23" s="14">
        <f t="shared" si="4"/>
        <v>43218</v>
      </c>
      <c r="K23" s="14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14">
        <f t="shared" si="1"/>
        <v>43220</v>
      </c>
      <c r="F24" s="14">
        <f t="shared" si="4"/>
        <v>43221</v>
      </c>
      <c r="G24" s="14">
        <f t="shared" si="4"/>
        <v>43222</v>
      </c>
      <c r="H24" s="14">
        <f t="shared" si="4"/>
        <v>43223</v>
      </c>
      <c r="I24" s="14">
        <f t="shared" si="4"/>
        <v>43224</v>
      </c>
      <c r="J24" s="40">
        <f t="shared" si="4"/>
        <v>43225</v>
      </c>
      <c r="K24" s="40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14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52">
        <f t="shared" si="4"/>
        <v>43288</v>
      </c>
      <c r="K33" s="52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4"/>
        <v>43292</v>
      </c>
      <c r="H34" s="50">
        <f t="shared" si="4"/>
        <v>43293</v>
      </c>
      <c r="I34" s="50">
        <f t="shared" si="4"/>
        <v>43294</v>
      </c>
      <c r="J34" s="52">
        <f t="shared" si="4"/>
        <v>43295</v>
      </c>
      <c r="K34" s="52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4"/>
        <v>43299</v>
      </c>
      <c r="H35" s="50">
        <f t="shared" si="4"/>
        <v>43300</v>
      </c>
      <c r="I35" s="50">
        <f t="shared" si="4"/>
        <v>43301</v>
      </c>
      <c r="J35" s="52">
        <f t="shared" si="4"/>
        <v>43302</v>
      </c>
      <c r="K35" s="52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4"/>
        <v>43306</v>
      </c>
      <c r="H36" s="50">
        <f t="shared" si="4"/>
        <v>43307</v>
      </c>
      <c r="I36" s="50">
        <f t="shared" si="4"/>
        <v>43308</v>
      </c>
      <c r="J36" s="52">
        <f t="shared" si="4"/>
        <v>43309</v>
      </c>
      <c r="K36" s="52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4"/>
        <v>43313</v>
      </c>
      <c r="H37" s="50">
        <f t="shared" si="4"/>
        <v>43314</v>
      </c>
      <c r="I37" s="50">
        <f t="shared" si="4"/>
        <v>43315</v>
      </c>
      <c r="J37" s="52">
        <f t="shared" si="4"/>
        <v>43316</v>
      </c>
      <c r="K37" s="52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4"/>
        <v>43320</v>
      </c>
      <c r="H38" s="50">
        <f t="shared" si="4"/>
        <v>43321</v>
      </c>
      <c r="I38" s="50">
        <f t="shared" si="4"/>
        <v>43322</v>
      </c>
      <c r="J38" s="52">
        <f t="shared" si="4"/>
        <v>43323</v>
      </c>
      <c r="K38" s="52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4"/>
        <v>43327</v>
      </c>
      <c r="H39" s="50">
        <f t="shared" si="4"/>
        <v>43328</v>
      </c>
      <c r="I39" s="50">
        <f t="shared" si="4"/>
        <v>43329</v>
      </c>
      <c r="J39" s="52">
        <f t="shared" si="4"/>
        <v>43330</v>
      </c>
      <c r="K39" s="52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43332</v>
      </c>
      <c r="F40" s="50">
        <f t="shared" si="4"/>
        <v>43333</v>
      </c>
      <c r="G40" s="50">
        <f t="shared" si="4"/>
        <v>43334</v>
      </c>
      <c r="H40" s="50">
        <f t="shared" si="4"/>
        <v>43335</v>
      </c>
      <c r="I40" s="50">
        <f t="shared" si="4"/>
        <v>43336</v>
      </c>
      <c r="J40" s="52">
        <f t="shared" si="4"/>
        <v>43337</v>
      </c>
      <c r="K40" s="52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1"/>
        <v>43339</v>
      </c>
      <c r="F41" s="50">
        <f t="shared" si="4"/>
        <v>43340</v>
      </c>
      <c r="G41" s="50">
        <f t="shared" si="4"/>
        <v>43341</v>
      </c>
      <c r="H41" s="50">
        <f t="shared" si="4"/>
        <v>43342</v>
      </c>
      <c r="I41" s="50">
        <f t="shared" si="4"/>
        <v>43343</v>
      </c>
      <c r="J41" s="52">
        <f t="shared" si="4"/>
        <v>43344</v>
      </c>
      <c r="K41" s="52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52">
        <f t="shared" si="4"/>
        <v>43393</v>
      </c>
      <c r="K48" s="52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0">
        <f t="shared" si="1"/>
        <v>43395</v>
      </c>
      <c r="F49" s="50">
        <f t="shared" si="4"/>
        <v>43396</v>
      </c>
      <c r="G49" s="50">
        <f t="shared" si="4"/>
        <v>43397</v>
      </c>
      <c r="H49" s="50">
        <f t="shared" si="4"/>
        <v>43398</v>
      </c>
      <c r="I49" s="50">
        <f t="shared" si="4"/>
        <v>43399</v>
      </c>
      <c r="J49" s="52">
        <f t="shared" si="4"/>
        <v>43400</v>
      </c>
      <c r="K49" s="52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1"/>
        <v>43402</v>
      </c>
      <c r="F50" s="50">
        <f t="shared" si="4"/>
        <v>43403</v>
      </c>
      <c r="G50" s="50">
        <f t="shared" si="4"/>
        <v>43404</v>
      </c>
      <c r="H50" s="50">
        <f t="shared" si="4"/>
        <v>43405</v>
      </c>
      <c r="I50" s="50">
        <f t="shared" si="4"/>
        <v>43406</v>
      </c>
      <c r="J50" s="52">
        <f t="shared" si="4"/>
        <v>43407</v>
      </c>
      <c r="K50" s="52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43458</v>
      </c>
      <c r="F58" s="50">
        <f t="shared" si="5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1"/>
        <v>43465</v>
      </c>
      <c r="F59" s="50">
        <f t="shared" si="5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115" priority="2">
      <formula>IF(C6&lt;&gt;"",TRUE,FALSE)</formula>
    </cfRule>
  </conditionalFormatting>
  <conditionalFormatting sqref="E6:K59">
    <cfRule type="expression" dxfId="114" priority="3">
      <formula>IF(DAY(E6)=1,TRUE,FALSE)</formula>
    </cfRule>
    <cfRule type="expression" dxfId="113" priority="4">
      <formula>IF(ISNA(VLOOKUP(E6,HolidayTable,2,FALSE)),FALSE,TRUE)</formula>
    </cfRule>
  </conditionalFormatting>
  <conditionalFormatting sqref="E58:I59 E6:K58">
    <cfRule type="expression" dxfId="112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39" activePane="bottomLeft" state="frozen"/>
      <selection pane="bottomLeft" activeCell="E58" sqref="E58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59" si="1">K6+1</f>
        <v>43101</v>
      </c>
      <c r="F7" s="50">
        <f t="shared" ref="F7:K22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33">
        <f t="shared" si="2"/>
        <v>43137</v>
      </c>
      <c r="G12" s="33">
        <f t="shared" si="2"/>
        <v>43138</v>
      </c>
      <c r="H12" s="33">
        <f t="shared" si="2"/>
        <v>43139</v>
      </c>
      <c r="I12" s="33">
        <f t="shared" si="2"/>
        <v>43140</v>
      </c>
      <c r="J12" s="33">
        <f t="shared" si="2"/>
        <v>43141</v>
      </c>
      <c r="K12" s="33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43143</v>
      </c>
      <c r="F13" s="33">
        <f t="shared" si="2"/>
        <v>43144</v>
      </c>
      <c r="G13" s="33">
        <f t="shared" si="2"/>
        <v>43145</v>
      </c>
      <c r="H13" s="33">
        <f t="shared" si="2"/>
        <v>43146</v>
      </c>
      <c r="I13" s="33">
        <f t="shared" si="2"/>
        <v>43147</v>
      </c>
      <c r="J13" s="33">
        <f t="shared" si="2"/>
        <v>43148</v>
      </c>
      <c r="K13" s="33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43150</v>
      </c>
      <c r="F14" s="33">
        <f t="shared" si="2"/>
        <v>43151</v>
      </c>
      <c r="G14" s="33">
        <f t="shared" si="2"/>
        <v>43152</v>
      </c>
      <c r="H14" s="33">
        <f t="shared" si="2"/>
        <v>43153</v>
      </c>
      <c r="I14" s="33">
        <f t="shared" si="2"/>
        <v>43154</v>
      </c>
      <c r="J14" s="52">
        <f t="shared" si="2"/>
        <v>43155</v>
      </c>
      <c r="K14" s="52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50">
        <f t="shared" si="1"/>
        <v>43157</v>
      </c>
      <c r="F15" s="50">
        <f t="shared" si="2"/>
        <v>43158</v>
      </c>
      <c r="G15" s="50">
        <f t="shared" si="2"/>
        <v>43159</v>
      </c>
      <c r="H15" s="50">
        <f t="shared" si="2"/>
        <v>43160</v>
      </c>
      <c r="I15" s="50">
        <f t="shared" si="2"/>
        <v>43161</v>
      </c>
      <c r="J15" s="52">
        <f t="shared" si="2"/>
        <v>43162</v>
      </c>
      <c r="K15" s="52">
        <f t="shared" si="2"/>
        <v>43163</v>
      </c>
      <c r="M15" s="54"/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50">
        <f t="shared" si="1"/>
        <v>43164</v>
      </c>
      <c r="F16" s="50">
        <f t="shared" si="2"/>
        <v>43165</v>
      </c>
      <c r="G16" s="50">
        <f t="shared" si="2"/>
        <v>43166</v>
      </c>
      <c r="H16" s="50">
        <f t="shared" si="2"/>
        <v>43167</v>
      </c>
      <c r="I16" s="50">
        <f t="shared" si="2"/>
        <v>43168</v>
      </c>
      <c r="J16" s="52">
        <f t="shared" si="2"/>
        <v>43169</v>
      </c>
      <c r="K16" s="52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14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40">
        <f t="shared" si="2"/>
        <v>43197</v>
      </c>
      <c r="K20" s="40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14">
        <f t="shared" si="1"/>
        <v>43199</v>
      </c>
      <c r="F21" s="14">
        <f t="shared" si="2"/>
        <v>43200</v>
      </c>
      <c r="G21" s="14">
        <f t="shared" si="2"/>
        <v>43201</v>
      </c>
      <c r="H21" s="14">
        <f t="shared" si="2"/>
        <v>43202</v>
      </c>
      <c r="I21" s="14">
        <f t="shared" si="2"/>
        <v>43203</v>
      </c>
      <c r="J21" s="40">
        <f t="shared" si="2"/>
        <v>43204</v>
      </c>
      <c r="K21" s="40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14">
        <f t="shared" si="1"/>
        <v>43206</v>
      </c>
      <c r="F22" s="14">
        <f t="shared" si="2"/>
        <v>43207</v>
      </c>
      <c r="G22" s="14">
        <f t="shared" si="2"/>
        <v>43208</v>
      </c>
      <c r="H22" s="14">
        <f t="shared" si="2"/>
        <v>43209</v>
      </c>
      <c r="I22" s="14">
        <f t="shared" si="2"/>
        <v>43210</v>
      </c>
      <c r="J22" s="52">
        <f t="shared" si="2"/>
        <v>43211</v>
      </c>
      <c r="K22" s="52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0">
        <f t="shared" si="1"/>
        <v>43213</v>
      </c>
      <c r="F23" s="50">
        <f t="shared" ref="F23:K54" si="4">E23+1</f>
        <v>43214</v>
      </c>
      <c r="G23" s="50">
        <f t="shared" si="4"/>
        <v>43215</v>
      </c>
      <c r="H23" s="50">
        <f t="shared" si="4"/>
        <v>43216</v>
      </c>
      <c r="I23" s="50">
        <f t="shared" si="4"/>
        <v>43217</v>
      </c>
      <c r="J23" s="52">
        <f t="shared" si="4"/>
        <v>43218</v>
      </c>
      <c r="K23" s="52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50">
        <f t="shared" si="1"/>
        <v>43220</v>
      </c>
      <c r="F24" s="50">
        <f t="shared" si="4"/>
        <v>43221</v>
      </c>
      <c r="G24" s="50">
        <f t="shared" si="4"/>
        <v>43222</v>
      </c>
      <c r="H24" s="50">
        <f t="shared" si="4"/>
        <v>43223</v>
      </c>
      <c r="I24" s="50">
        <f t="shared" si="4"/>
        <v>43224</v>
      </c>
      <c r="J24" s="52">
        <f t="shared" si="4"/>
        <v>43225</v>
      </c>
      <c r="K24" s="52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14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14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14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14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14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52">
        <f t="shared" si="4"/>
        <v>43288</v>
      </c>
      <c r="K33" s="52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4"/>
        <v>43292</v>
      </c>
      <c r="H34" s="50">
        <f t="shared" si="4"/>
        <v>43293</v>
      </c>
      <c r="I34" s="50">
        <f t="shared" si="4"/>
        <v>43294</v>
      </c>
      <c r="J34" s="52">
        <f t="shared" si="4"/>
        <v>43295</v>
      </c>
      <c r="K34" s="52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4"/>
        <v>43299</v>
      </c>
      <c r="H35" s="50">
        <f t="shared" si="4"/>
        <v>43300</v>
      </c>
      <c r="I35" s="50">
        <f t="shared" si="4"/>
        <v>43301</v>
      </c>
      <c r="J35" s="52">
        <f t="shared" si="4"/>
        <v>43302</v>
      </c>
      <c r="K35" s="52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4"/>
        <v>43306</v>
      </c>
      <c r="H36" s="50">
        <f t="shared" si="4"/>
        <v>43307</v>
      </c>
      <c r="I36" s="50">
        <f t="shared" si="4"/>
        <v>43308</v>
      </c>
      <c r="J36" s="52">
        <f t="shared" si="4"/>
        <v>43309</v>
      </c>
      <c r="K36" s="52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4"/>
        <v>43313</v>
      </c>
      <c r="H37" s="50">
        <f t="shared" si="4"/>
        <v>43314</v>
      </c>
      <c r="I37" s="50">
        <f t="shared" si="4"/>
        <v>43315</v>
      </c>
      <c r="J37" s="52">
        <f t="shared" si="4"/>
        <v>43316</v>
      </c>
      <c r="K37" s="52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4"/>
        <v>43320</v>
      </c>
      <c r="H38" s="50">
        <f t="shared" si="4"/>
        <v>43321</v>
      </c>
      <c r="I38" s="50">
        <f t="shared" si="4"/>
        <v>43322</v>
      </c>
      <c r="J38" s="52">
        <f t="shared" si="4"/>
        <v>43323</v>
      </c>
      <c r="K38" s="52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4"/>
        <v>43327</v>
      </c>
      <c r="H39" s="50">
        <f t="shared" si="4"/>
        <v>43328</v>
      </c>
      <c r="I39" s="50">
        <f t="shared" si="4"/>
        <v>43329</v>
      </c>
      <c r="J39" s="52">
        <f t="shared" si="4"/>
        <v>43330</v>
      </c>
      <c r="K39" s="52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43332</v>
      </c>
      <c r="F40" s="50">
        <f t="shared" si="4"/>
        <v>43333</v>
      </c>
      <c r="G40" s="50">
        <f t="shared" si="4"/>
        <v>43334</v>
      </c>
      <c r="H40" s="50">
        <f t="shared" si="4"/>
        <v>43335</v>
      </c>
      <c r="I40" s="50">
        <f t="shared" si="4"/>
        <v>43336</v>
      </c>
      <c r="J40" s="52">
        <f t="shared" si="4"/>
        <v>43337</v>
      </c>
      <c r="K40" s="52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1"/>
        <v>43339</v>
      </c>
      <c r="F41" s="50">
        <f t="shared" si="4"/>
        <v>43340</v>
      </c>
      <c r="G41" s="50">
        <f t="shared" si="4"/>
        <v>43341</v>
      </c>
      <c r="H41" s="50">
        <f t="shared" si="4"/>
        <v>43342</v>
      </c>
      <c r="I41" s="50">
        <f t="shared" si="4"/>
        <v>43343</v>
      </c>
      <c r="J41" s="52">
        <f t="shared" si="4"/>
        <v>43344</v>
      </c>
      <c r="K41" s="52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52">
        <f t="shared" si="4"/>
        <v>43393</v>
      </c>
      <c r="K48" s="52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43395</v>
      </c>
      <c r="F49" s="51">
        <f t="shared" si="4"/>
        <v>43396</v>
      </c>
      <c r="G49" s="51">
        <f t="shared" si="4"/>
        <v>43397</v>
      </c>
      <c r="H49" s="51">
        <f t="shared" si="4"/>
        <v>43398</v>
      </c>
      <c r="I49" s="51">
        <f t="shared" si="4"/>
        <v>43399</v>
      </c>
      <c r="J49" s="52">
        <f t="shared" si="4"/>
        <v>43400</v>
      </c>
      <c r="K49" s="52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1"/>
        <v>43402</v>
      </c>
      <c r="F50" s="51">
        <f t="shared" si="4"/>
        <v>43403</v>
      </c>
      <c r="G50" s="51">
        <f t="shared" si="4"/>
        <v>43404</v>
      </c>
      <c r="H50" s="51">
        <f t="shared" si="4"/>
        <v>43405</v>
      </c>
      <c r="I50" s="51">
        <f t="shared" si="4"/>
        <v>43406</v>
      </c>
      <c r="J50" s="52">
        <f t="shared" si="4"/>
        <v>43407</v>
      </c>
      <c r="K50" s="52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43458</v>
      </c>
      <c r="F58" s="50">
        <f t="shared" si="5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1"/>
        <v>43465</v>
      </c>
      <c r="F59" s="50">
        <f t="shared" si="5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111" priority="2">
      <formula>IF(C6&lt;&gt;"",TRUE,FALSE)</formula>
    </cfRule>
  </conditionalFormatting>
  <conditionalFormatting sqref="E6:K59">
    <cfRule type="expression" dxfId="110" priority="3">
      <formula>IF(DAY(E6)=1,TRUE,FALSE)</formula>
    </cfRule>
    <cfRule type="expression" dxfId="109" priority="4">
      <formula>IF(ISNA(VLOOKUP(E6,HolidayTable,2,FALSE)),FALSE,TRUE)</formula>
    </cfRule>
  </conditionalFormatting>
  <conditionalFormatting sqref="E58:J59 E6:K58">
    <cfRule type="expression" dxfId="108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42" activePane="bottomLeft" state="frozen"/>
      <selection pane="bottomLeft" activeCell="I53" sqref="I53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s="56" customFormat="1" ht="15" hidden="1" customHeight="1">
      <c r="A1" s="55" t="s">
        <v>57</v>
      </c>
      <c r="C1" s="57"/>
      <c r="D1" s="58"/>
      <c r="E1" s="64">
        <v>43101</v>
      </c>
      <c r="F1" s="64"/>
      <c r="G1" s="64"/>
      <c r="H1" s="64"/>
      <c r="I1" s="64"/>
      <c r="J1" s="64"/>
      <c r="K1" s="64"/>
      <c r="L1" s="57"/>
      <c r="M1" s="59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39" si="1">K6+1</f>
        <v>43101</v>
      </c>
      <c r="F7" s="50">
        <f t="shared" ref="F7:K7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ref="F8:F39" si="4">E8+1</f>
        <v>43109</v>
      </c>
      <c r="G8" s="14">
        <f t="shared" ref="G8:K58" si="5">F8+1</f>
        <v>43110</v>
      </c>
      <c r="H8" s="14">
        <f>G8+1</f>
        <v>43111</v>
      </c>
      <c r="I8" s="14">
        <f t="shared" si="5"/>
        <v>43112</v>
      </c>
      <c r="J8" s="40">
        <f t="shared" si="5"/>
        <v>43113</v>
      </c>
      <c r="K8" s="40">
        <f t="shared" si="5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4"/>
        <v>43116</v>
      </c>
      <c r="G9" s="14">
        <f t="shared" si="5"/>
        <v>43117</v>
      </c>
      <c r="H9" s="14">
        <f t="shared" si="5"/>
        <v>43118</v>
      </c>
      <c r="I9" s="14">
        <f t="shared" si="5"/>
        <v>43119</v>
      </c>
      <c r="J9" s="40">
        <f t="shared" si="5"/>
        <v>43120</v>
      </c>
      <c r="K9" s="40">
        <f t="shared" si="5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4"/>
        <v>43123</v>
      </c>
      <c r="G10" s="14">
        <f t="shared" si="5"/>
        <v>43124</v>
      </c>
      <c r="H10" s="14">
        <f t="shared" si="5"/>
        <v>43125</v>
      </c>
      <c r="I10" s="14">
        <f t="shared" si="5"/>
        <v>43126</v>
      </c>
      <c r="J10" s="40">
        <f t="shared" si="5"/>
        <v>43127</v>
      </c>
      <c r="K10" s="40">
        <f t="shared" si="5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14">
        <f t="shared" si="1"/>
        <v>43129</v>
      </c>
      <c r="F11" s="14">
        <f t="shared" si="4"/>
        <v>43130</v>
      </c>
      <c r="G11" s="14">
        <f t="shared" si="5"/>
        <v>43131</v>
      </c>
      <c r="H11" s="14">
        <f t="shared" si="5"/>
        <v>43132</v>
      </c>
      <c r="I11" s="14">
        <f t="shared" si="5"/>
        <v>43133</v>
      </c>
      <c r="J11" s="14">
        <f t="shared" si="5"/>
        <v>43134</v>
      </c>
      <c r="K11" s="14">
        <f t="shared" si="5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14">
        <f t="shared" si="1"/>
        <v>43136</v>
      </c>
      <c r="F12" s="14">
        <f t="shared" si="4"/>
        <v>43137</v>
      </c>
      <c r="G12" s="14">
        <f t="shared" si="5"/>
        <v>43138</v>
      </c>
      <c r="H12" s="14">
        <f t="shared" si="5"/>
        <v>43139</v>
      </c>
      <c r="I12" s="14">
        <f t="shared" si="5"/>
        <v>43140</v>
      </c>
      <c r="J12" s="14">
        <f t="shared" si="5"/>
        <v>43141</v>
      </c>
      <c r="K12" s="14">
        <f t="shared" si="5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14">
        <f t="shared" si="1"/>
        <v>43143</v>
      </c>
      <c r="F13" s="14">
        <f t="shared" si="4"/>
        <v>43144</v>
      </c>
      <c r="G13" s="14">
        <f t="shared" si="5"/>
        <v>43145</v>
      </c>
      <c r="H13" s="14">
        <f t="shared" si="5"/>
        <v>43146</v>
      </c>
      <c r="I13" s="14">
        <f t="shared" si="5"/>
        <v>43147</v>
      </c>
      <c r="J13" s="52">
        <f t="shared" si="5"/>
        <v>43148</v>
      </c>
      <c r="K13" s="52">
        <f t="shared" si="5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0">
        <f t="shared" si="1"/>
        <v>43150</v>
      </c>
      <c r="F14" s="50">
        <f t="shared" si="4"/>
        <v>43151</v>
      </c>
      <c r="G14" s="50">
        <f t="shared" si="5"/>
        <v>43152</v>
      </c>
      <c r="H14" s="50">
        <f t="shared" si="5"/>
        <v>43153</v>
      </c>
      <c r="I14" s="50">
        <f t="shared" si="5"/>
        <v>43154</v>
      </c>
      <c r="J14" s="52">
        <f t="shared" si="5"/>
        <v>43155</v>
      </c>
      <c r="K14" s="52">
        <f t="shared" si="5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50">
        <f t="shared" si="1"/>
        <v>43157</v>
      </c>
      <c r="F15" s="50">
        <f t="shared" si="4"/>
        <v>43158</v>
      </c>
      <c r="G15" s="50">
        <f t="shared" si="5"/>
        <v>43159</v>
      </c>
      <c r="H15" s="50">
        <f t="shared" si="5"/>
        <v>43160</v>
      </c>
      <c r="I15" s="50">
        <f t="shared" si="5"/>
        <v>43161</v>
      </c>
      <c r="J15" s="52">
        <f t="shared" si="5"/>
        <v>43162</v>
      </c>
      <c r="K15" s="52">
        <f t="shared" si="5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43164</v>
      </c>
      <c r="F16" s="33">
        <f t="shared" si="4"/>
        <v>43165</v>
      </c>
      <c r="G16" s="33">
        <f t="shared" si="5"/>
        <v>43166</v>
      </c>
      <c r="H16" s="33">
        <f t="shared" si="5"/>
        <v>43167</v>
      </c>
      <c r="I16" s="33">
        <f t="shared" si="5"/>
        <v>43168</v>
      </c>
      <c r="J16" s="40">
        <f t="shared" si="5"/>
        <v>43169</v>
      </c>
      <c r="K16" s="40">
        <f t="shared" si="5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43171</v>
      </c>
      <c r="F17" s="33">
        <f t="shared" si="4"/>
        <v>43172</v>
      </c>
      <c r="G17" s="33">
        <f t="shared" si="5"/>
        <v>43173</v>
      </c>
      <c r="H17" s="33">
        <f t="shared" si="5"/>
        <v>43174</v>
      </c>
      <c r="I17" s="33">
        <f t="shared" si="5"/>
        <v>43175</v>
      </c>
      <c r="J17" s="40">
        <f t="shared" si="5"/>
        <v>43176</v>
      </c>
      <c r="K17" s="40">
        <f t="shared" si="5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43178</v>
      </c>
      <c r="F18" s="33">
        <f t="shared" si="4"/>
        <v>43179</v>
      </c>
      <c r="G18" s="33">
        <f t="shared" si="5"/>
        <v>43180</v>
      </c>
      <c r="H18" s="33">
        <f t="shared" si="5"/>
        <v>43181</v>
      </c>
      <c r="I18" s="33">
        <f t="shared" si="5"/>
        <v>43182</v>
      </c>
      <c r="J18" s="40">
        <f t="shared" si="5"/>
        <v>43183</v>
      </c>
      <c r="K18" s="40">
        <f t="shared" si="5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33">
        <f t="shared" si="1"/>
        <v>43185</v>
      </c>
      <c r="F19" s="33">
        <f t="shared" si="4"/>
        <v>43186</v>
      </c>
      <c r="G19" s="33">
        <f t="shared" si="5"/>
        <v>43187</v>
      </c>
      <c r="H19" s="33">
        <f t="shared" si="5"/>
        <v>43188</v>
      </c>
      <c r="I19" s="33">
        <f t="shared" si="5"/>
        <v>43189</v>
      </c>
      <c r="J19" s="40">
        <f t="shared" si="5"/>
        <v>43190</v>
      </c>
      <c r="K19" s="40">
        <f t="shared" si="5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43192</v>
      </c>
      <c r="F20" s="33">
        <f t="shared" si="4"/>
        <v>43193</v>
      </c>
      <c r="G20" s="33">
        <f t="shared" si="5"/>
        <v>43194</v>
      </c>
      <c r="H20" s="33">
        <f t="shared" si="5"/>
        <v>43195</v>
      </c>
      <c r="I20" s="33">
        <f t="shared" si="5"/>
        <v>43196</v>
      </c>
      <c r="J20" s="40">
        <f t="shared" si="5"/>
        <v>43197</v>
      </c>
      <c r="K20" s="40">
        <f t="shared" si="5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43199</v>
      </c>
      <c r="F21" s="33">
        <f t="shared" si="4"/>
        <v>43200</v>
      </c>
      <c r="G21" s="33">
        <f t="shared" si="5"/>
        <v>43201</v>
      </c>
      <c r="H21" s="33">
        <f t="shared" si="5"/>
        <v>43202</v>
      </c>
      <c r="I21" s="33">
        <f t="shared" si="5"/>
        <v>43203</v>
      </c>
      <c r="J21" s="52">
        <f t="shared" si="5"/>
        <v>43204</v>
      </c>
      <c r="K21" s="52">
        <f t="shared" si="5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0">
        <f t="shared" si="1"/>
        <v>43206</v>
      </c>
      <c r="F22" s="50">
        <f t="shared" si="4"/>
        <v>43207</v>
      </c>
      <c r="G22" s="50">
        <f t="shared" si="5"/>
        <v>43208</v>
      </c>
      <c r="H22" s="50">
        <f t="shared" si="5"/>
        <v>43209</v>
      </c>
      <c r="I22" s="50">
        <f t="shared" si="5"/>
        <v>43210</v>
      </c>
      <c r="J22" s="52">
        <f t="shared" si="5"/>
        <v>43211</v>
      </c>
      <c r="K22" s="52">
        <f t="shared" si="5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0">
        <f t="shared" si="1"/>
        <v>43213</v>
      </c>
      <c r="F23" s="50">
        <f t="shared" si="4"/>
        <v>43214</v>
      </c>
      <c r="G23" s="50">
        <f t="shared" si="5"/>
        <v>43215</v>
      </c>
      <c r="H23" s="50">
        <f t="shared" si="5"/>
        <v>43216</v>
      </c>
      <c r="I23" s="50">
        <f t="shared" si="5"/>
        <v>43217</v>
      </c>
      <c r="J23" s="52">
        <f t="shared" si="5"/>
        <v>43218</v>
      </c>
      <c r="K23" s="52">
        <f t="shared" si="5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33">
        <f t="shared" si="1"/>
        <v>43220</v>
      </c>
      <c r="F24" s="33">
        <f t="shared" si="4"/>
        <v>43221</v>
      </c>
      <c r="G24" s="33">
        <f t="shared" si="5"/>
        <v>43222</v>
      </c>
      <c r="H24" s="33">
        <f t="shared" si="5"/>
        <v>43223</v>
      </c>
      <c r="I24" s="33">
        <f t="shared" si="5"/>
        <v>43224</v>
      </c>
      <c r="J24" s="40">
        <f t="shared" si="5"/>
        <v>43225</v>
      </c>
      <c r="K24" s="40">
        <f t="shared" si="5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43227</v>
      </c>
      <c r="F25" s="33">
        <f t="shared" si="4"/>
        <v>43228</v>
      </c>
      <c r="G25" s="33">
        <f t="shared" si="5"/>
        <v>43229</v>
      </c>
      <c r="H25" s="33">
        <f t="shared" si="5"/>
        <v>43230</v>
      </c>
      <c r="I25" s="33">
        <f t="shared" si="5"/>
        <v>43231</v>
      </c>
      <c r="J25" s="40">
        <f t="shared" si="5"/>
        <v>43232</v>
      </c>
      <c r="K25" s="40">
        <f t="shared" si="5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43234</v>
      </c>
      <c r="F26" s="33">
        <f t="shared" si="4"/>
        <v>43235</v>
      </c>
      <c r="G26" s="33">
        <f t="shared" si="5"/>
        <v>43236</v>
      </c>
      <c r="H26" s="33">
        <f t="shared" si="5"/>
        <v>43237</v>
      </c>
      <c r="I26" s="33">
        <f t="shared" si="5"/>
        <v>43238</v>
      </c>
      <c r="J26" s="40">
        <f t="shared" si="5"/>
        <v>43239</v>
      </c>
      <c r="K26" s="40">
        <f t="shared" si="5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43241</v>
      </c>
      <c r="F27" s="33">
        <f t="shared" si="4"/>
        <v>43242</v>
      </c>
      <c r="G27" s="33">
        <f t="shared" si="5"/>
        <v>43243</v>
      </c>
      <c r="H27" s="33">
        <f t="shared" si="5"/>
        <v>43244</v>
      </c>
      <c r="I27" s="33">
        <f t="shared" si="5"/>
        <v>43245</v>
      </c>
      <c r="J27" s="40">
        <f t="shared" si="5"/>
        <v>43246</v>
      </c>
      <c r="K27" s="40">
        <f t="shared" si="5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33">
        <f t="shared" si="1"/>
        <v>43248</v>
      </c>
      <c r="F28" s="33">
        <f t="shared" si="4"/>
        <v>43249</v>
      </c>
      <c r="G28" s="33">
        <f t="shared" si="5"/>
        <v>43250</v>
      </c>
      <c r="H28" s="33">
        <f t="shared" si="5"/>
        <v>43251</v>
      </c>
      <c r="I28" s="33">
        <f t="shared" si="5"/>
        <v>43252</v>
      </c>
      <c r="J28" s="40">
        <f t="shared" si="5"/>
        <v>43253</v>
      </c>
      <c r="K28" s="40">
        <f t="shared" si="5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43255</v>
      </c>
      <c r="F29" s="14">
        <f t="shared" si="4"/>
        <v>43256</v>
      </c>
      <c r="G29" s="14">
        <f t="shared" si="5"/>
        <v>43257</v>
      </c>
      <c r="H29" s="14">
        <f t="shared" si="5"/>
        <v>43258</v>
      </c>
      <c r="I29" s="14">
        <f t="shared" si="5"/>
        <v>43259</v>
      </c>
      <c r="J29" s="40">
        <f t="shared" si="5"/>
        <v>43260</v>
      </c>
      <c r="K29" s="40">
        <f t="shared" si="5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5"/>
        <v>43264</v>
      </c>
      <c r="H30" s="14">
        <f t="shared" si="5"/>
        <v>43265</v>
      </c>
      <c r="I30" s="14">
        <f t="shared" si="5"/>
        <v>43266</v>
      </c>
      <c r="J30" s="40">
        <f t="shared" si="5"/>
        <v>43267</v>
      </c>
      <c r="K30" s="40">
        <f t="shared" si="5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5"/>
        <v>43271</v>
      </c>
      <c r="H31" s="14">
        <f t="shared" si="5"/>
        <v>43272</v>
      </c>
      <c r="I31" s="14">
        <f t="shared" si="5"/>
        <v>43273</v>
      </c>
      <c r="J31" s="40">
        <f t="shared" si="5"/>
        <v>43274</v>
      </c>
      <c r="K31" s="40">
        <f t="shared" si="5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5"/>
        <v>43278</v>
      </c>
      <c r="H32" s="14">
        <f t="shared" si="5"/>
        <v>43279</v>
      </c>
      <c r="I32" s="14">
        <f t="shared" si="5"/>
        <v>43280</v>
      </c>
      <c r="J32" s="40">
        <f t="shared" si="5"/>
        <v>43281</v>
      </c>
      <c r="K32" s="40">
        <f t="shared" si="5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5"/>
        <v>43285</v>
      </c>
      <c r="H33" s="14">
        <f t="shared" si="5"/>
        <v>43286</v>
      </c>
      <c r="I33" s="14">
        <f t="shared" si="5"/>
        <v>43287</v>
      </c>
      <c r="J33" s="52">
        <f t="shared" si="5"/>
        <v>43288</v>
      </c>
      <c r="K33" s="52">
        <f t="shared" si="5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5"/>
        <v>43292</v>
      </c>
      <c r="H34" s="50">
        <f t="shared" si="5"/>
        <v>43293</v>
      </c>
      <c r="I34" s="50">
        <f t="shared" si="5"/>
        <v>43294</v>
      </c>
      <c r="J34" s="52">
        <f t="shared" si="5"/>
        <v>43295</v>
      </c>
      <c r="K34" s="52">
        <f t="shared" si="5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5"/>
        <v>43299</v>
      </c>
      <c r="H35" s="50">
        <f t="shared" si="5"/>
        <v>43300</v>
      </c>
      <c r="I35" s="50">
        <f t="shared" si="5"/>
        <v>43301</v>
      </c>
      <c r="J35" s="52">
        <f t="shared" si="5"/>
        <v>43302</v>
      </c>
      <c r="K35" s="52">
        <f t="shared" si="5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5"/>
        <v>43306</v>
      </c>
      <c r="H36" s="50">
        <f t="shared" si="5"/>
        <v>43307</v>
      </c>
      <c r="I36" s="50">
        <f t="shared" si="5"/>
        <v>43308</v>
      </c>
      <c r="J36" s="52">
        <f t="shared" si="5"/>
        <v>43309</v>
      </c>
      <c r="K36" s="52">
        <f t="shared" si="5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5"/>
        <v>43313</v>
      </c>
      <c r="H37" s="50">
        <f t="shared" si="5"/>
        <v>43314</v>
      </c>
      <c r="I37" s="50">
        <f t="shared" si="5"/>
        <v>43315</v>
      </c>
      <c r="J37" s="52">
        <f t="shared" si="5"/>
        <v>43316</v>
      </c>
      <c r="K37" s="52">
        <f t="shared" si="5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5"/>
        <v>43320</v>
      </c>
      <c r="H38" s="50">
        <f t="shared" si="5"/>
        <v>43321</v>
      </c>
      <c r="I38" s="50">
        <f t="shared" si="5"/>
        <v>43322</v>
      </c>
      <c r="J38" s="52">
        <f t="shared" si="5"/>
        <v>43323</v>
      </c>
      <c r="K38" s="52">
        <f t="shared" si="5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5"/>
        <v>43327</v>
      </c>
      <c r="H39" s="50">
        <f t="shared" si="5"/>
        <v>43328</v>
      </c>
      <c r="I39" s="50">
        <f t="shared" si="5"/>
        <v>43329</v>
      </c>
      <c r="J39" s="52">
        <f t="shared" si="5"/>
        <v>43330</v>
      </c>
      <c r="K39" s="52">
        <f t="shared" si="5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ref="E40:E59" si="6">K39+1</f>
        <v>43332</v>
      </c>
      <c r="F40" s="50">
        <f t="shared" ref="F40:F59" si="7">E40+1</f>
        <v>43333</v>
      </c>
      <c r="G40" s="50">
        <f t="shared" si="5"/>
        <v>43334</v>
      </c>
      <c r="H40" s="50">
        <f t="shared" si="5"/>
        <v>43335</v>
      </c>
      <c r="I40" s="50">
        <f t="shared" si="5"/>
        <v>43336</v>
      </c>
      <c r="J40" s="52">
        <f t="shared" si="5"/>
        <v>43337</v>
      </c>
      <c r="K40" s="52">
        <f t="shared" si="5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6"/>
        <v>43339</v>
      </c>
      <c r="F41" s="50">
        <f t="shared" si="7"/>
        <v>43340</v>
      </c>
      <c r="G41" s="50">
        <f t="shared" si="5"/>
        <v>43341</v>
      </c>
      <c r="H41" s="50">
        <f t="shared" si="5"/>
        <v>43342</v>
      </c>
      <c r="I41" s="50">
        <f t="shared" si="5"/>
        <v>43343</v>
      </c>
      <c r="J41" s="52">
        <f t="shared" si="5"/>
        <v>43344</v>
      </c>
      <c r="K41" s="52">
        <f t="shared" si="5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6"/>
        <v>43346</v>
      </c>
      <c r="F42" s="14">
        <f t="shared" si="7"/>
        <v>43347</v>
      </c>
      <c r="G42" s="14">
        <f t="shared" si="5"/>
        <v>43348</v>
      </c>
      <c r="H42" s="14">
        <f t="shared" si="5"/>
        <v>43349</v>
      </c>
      <c r="I42" s="14">
        <f t="shared" si="5"/>
        <v>43350</v>
      </c>
      <c r="J42" s="40">
        <f t="shared" si="5"/>
        <v>43351</v>
      </c>
      <c r="K42" s="40">
        <f t="shared" si="5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6"/>
        <v>43353</v>
      </c>
      <c r="F43" s="14">
        <f t="shared" si="7"/>
        <v>43354</v>
      </c>
      <c r="G43" s="14">
        <f t="shared" si="5"/>
        <v>43355</v>
      </c>
      <c r="H43" s="14">
        <f t="shared" si="5"/>
        <v>43356</v>
      </c>
      <c r="I43" s="14">
        <f t="shared" si="5"/>
        <v>43357</v>
      </c>
      <c r="J43" s="40">
        <f t="shared" si="5"/>
        <v>43358</v>
      </c>
      <c r="K43" s="40">
        <f t="shared" si="5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6"/>
        <v>43360</v>
      </c>
      <c r="F44" s="14">
        <f t="shared" si="7"/>
        <v>43361</v>
      </c>
      <c r="G44" s="14">
        <f t="shared" si="5"/>
        <v>43362</v>
      </c>
      <c r="H44" s="14">
        <f t="shared" si="5"/>
        <v>43363</v>
      </c>
      <c r="I44" s="14">
        <f t="shared" si="5"/>
        <v>43364</v>
      </c>
      <c r="J44" s="40">
        <f t="shared" si="5"/>
        <v>43365</v>
      </c>
      <c r="K44" s="40">
        <f t="shared" si="5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6"/>
        <v>43367</v>
      </c>
      <c r="F45" s="14">
        <f t="shared" si="7"/>
        <v>43368</v>
      </c>
      <c r="G45" s="14">
        <f t="shared" si="5"/>
        <v>43369</v>
      </c>
      <c r="H45" s="14">
        <f t="shared" si="5"/>
        <v>43370</v>
      </c>
      <c r="I45" s="14">
        <f t="shared" si="5"/>
        <v>43371</v>
      </c>
      <c r="J45" s="40">
        <f t="shared" si="5"/>
        <v>43372</v>
      </c>
      <c r="K45" s="40">
        <f t="shared" si="5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6"/>
        <v>43374</v>
      </c>
      <c r="F46" s="14">
        <f t="shared" si="7"/>
        <v>43375</v>
      </c>
      <c r="G46" s="14">
        <f t="shared" si="5"/>
        <v>43376</v>
      </c>
      <c r="H46" s="14">
        <f t="shared" si="5"/>
        <v>43377</v>
      </c>
      <c r="I46" s="14">
        <f t="shared" si="5"/>
        <v>43378</v>
      </c>
      <c r="J46" s="40">
        <f t="shared" si="5"/>
        <v>43379</v>
      </c>
      <c r="K46" s="40">
        <f t="shared" si="5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6"/>
        <v>43381</v>
      </c>
      <c r="F47" s="14">
        <f t="shared" si="7"/>
        <v>43382</v>
      </c>
      <c r="G47" s="14">
        <f t="shared" si="5"/>
        <v>43383</v>
      </c>
      <c r="H47" s="14">
        <f t="shared" si="5"/>
        <v>43384</v>
      </c>
      <c r="I47" s="14">
        <f t="shared" si="5"/>
        <v>43385</v>
      </c>
      <c r="J47" s="40">
        <f t="shared" si="5"/>
        <v>43386</v>
      </c>
      <c r="K47" s="40">
        <f t="shared" si="5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6"/>
        <v>43388</v>
      </c>
      <c r="F48" s="14">
        <f t="shared" si="7"/>
        <v>43389</v>
      </c>
      <c r="G48" s="14">
        <f t="shared" si="5"/>
        <v>43390</v>
      </c>
      <c r="H48" s="14">
        <f t="shared" si="5"/>
        <v>43391</v>
      </c>
      <c r="I48" s="14">
        <f t="shared" si="5"/>
        <v>43392</v>
      </c>
      <c r="J48" s="52">
        <f t="shared" si="5"/>
        <v>43393</v>
      </c>
      <c r="K48" s="52">
        <f t="shared" si="5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0">
        <f t="shared" si="6"/>
        <v>43395</v>
      </c>
      <c r="F49" s="50">
        <f t="shared" si="7"/>
        <v>43396</v>
      </c>
      <c r="G49" s="50">
        <f t="shared" si="5"/>
        <v>43397</v>
      </c>
      <c r="H49" s="50">
        <f t="shared" si="5"/>
        <v>43398</v>
      </c>
      <c r="I49" s="50">
        <f t="shared" si="5"/>
        <v>43399</v>
      </c>
      <c r="J49" s="52">
        <f t="shared" si="5"/>
        <v>43400</v>
      </c>
      <c r="K49" s="52">
        <f t="shared" si="5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6"/>
        <v>43402</v>
      </c>
      <c r="F50" s="50">
        <f t="shared" si="7"/>
        <v>43403</v>
      </c>
      <c r="G50" s="50">
        <f t="shared" si="5"/>
        <v>43404</v>
      </c>
      <c r="H50" s="50">
        <f t="shared" si="5"/>
        <v>43405</v>
      </c>
      <c r="I50" s="50">
        <f t="shared" si="5"/>
        <v>43406</v>
      </c>
      <c r="J50" s="52">
        <f t="shared" si="5"/>
        <v>43407</v>
      </c>
      <c r="K50" s="52">
        <f t="shared" si="5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6"/>
        <v>43409</v>
      </c>
      <c r="F51" s="14">
        <f t="shared" si="7"/>
        <v>43410</v>
      </c>
      <c r="G51" s="14">
        <f t="shared" si="5"/>
        <v>43411</v>
      </c>
      <c r="H51" s="14">
        <f t="shared" si="5"/>
        <v>43412</v>
      </c>
      <c r="I51" s="14">
        <f t="shared" si="5"/>
        <v>43413</v>
      </c>
      <c r="J51" s="40">
        <f t="shared" si="5"/>
        <v>43414</v>
      </c>
      <c r="K51" s="40">
        <f t="shared" si="5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6"/>
        <v>43416</v>
      </c>
      <c r="F52" s="14">
        <f t="shared" si="7"/>
        <v>43417</v>
      </c>
      <c r="G52" s="14">
        <f t="shared" si="5"/>
        <v>43418</v>
      </c>
      <c r="H52" s="14">
        <f t="shared" si="5"/>
        <v>43419</v>
      </c>
      <c r="I52" s="14">
        <f t="shared" si="5"/>
        <v>43420</v>
      </c>
      <c r="J52" s="40">
        <f t="shared" si="5"/>
        <v>43421</v>
      </c>
      <c r="K52" s="40">
        <f t="shared" si="5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6"/>
        <v>43423</v>
      </c>
      <c r="F53" s="14">
        <f t="shared" si="7"/>
        <v>43424</v>
      </c>
      <c r="G53" s="14">
        <f t="shared" si="5"/>
        <v>43425</v>
      </c>
      <c r="H53" s="14">
        <f t="shared" si="5"/>
        <v>43426</v>
      </c>
      <c r="I53" s="14">
        <f>H53+1</f>
        <v>43427</v>
      </c>
      <c r="J53" s="40">
        <f t="shared" si="5"/>
        <v>43428</v>
      </c>
      <c r="K53" s="40">
        <f t="shared" si="5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6"/>
        <v>43430</v>
      </c>
      <c r="F54" s="14">
        <f t="shared" si="7"/>
        <v>43431</v>
      </c>
      <c r="G54" s="14">
        <f t="shared" si="5"/>
        <v>43432</v>
      </c>
      <c r="H54" s="14">
        <f t="shared" si="5"/>
        <v>43433</v>
      </c>
      <c r="I54" s="14">
        <f t="shared" si="5"/>
        <v>43434</v>
      </c>
      <c r="J54" s="40">
        <f t="shared" si="5"/>
        <v>43435</v>
      </c>
      <c r="K54" s="40">
        <f t="shared" si="5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6"/>
        <v>43437</v>
      </c>
      <c r="F55" s="14">
        <f t="shared" si="7"/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6"/>
        <v>43444</v>
      </c>
      <c r="F56" s="14">
        <f t="shared" si="7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6"/>
        <v>43451</v>
      </c>
      <c r="F57" s="14">
        <f t="shared" si="7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6"/>
        <v>43458</v>
      </c>
      <c r="F58" s="50">
        <f t="shared" si="7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6"/>
        <v>43465</v>
      </c>
      <c r="F59" s="50">
        <f t="shared" si="7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phoneticPr fontId="3" type="noConversion"/>
  <conditionalFormatting sqref="C6:C60">
    <cfRule type="expression" dxfId="107" priority="11">
      <formula>IF(C6&lt;&gt;"",TRUE,FALSE)</formula>
    </cfRule>
  </conditionalFormatting>
  <conditionalFormatting sqref="E6:K59">
    <cfRule type="expression" dxfId="106" priority="16">
      <formula>IF(DAY(E6)=1,TRUE,FALSE)</formula>
    </cfRule>
    <cfRule type="expression" dxfId="105" priority="17">
      <formula>IF(ISNA(VLOOKUP(E6,HolidayTable,2,FALSE)),FALSE,TRUE)</formula>
    </cfRule>
  </conditionalFormatting>
  <conditionalFormatting sqref="E58:I59 E6:K58">
    <cfRule type="expression" dxfId="104" priority="2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24" activePane="bottomLeft" state="frozen"/>
      <selection pane="bottomLeft" activeCell="M23" sqref="M23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 t="str">
        <f>CONCATENATE(YEAR(E1)," ex")</f>
        <v>2018 ex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33">
        <f t="shared" ref="E6:J6" si="0">F6-1</f>
        <v>43094</v>
      </c>
      <c r="F6" s="14">
        <f t="shared" si="0"/>
        <v>43095</v>
      </c>
      <c r="G6" s="14">
        <f t="shared" si="0"/>
        <v>43096</v>
      </c>
      <c r="H6" s="14">
        <f t="shared" si="0"/>
        <v>43097</v>
      </c>
      <c r="I6" s="14">
        <f t="shared" si="0"/>
        <v>43098</v>
      </c>
      <c r="J6" s="40">
        <f t="shared" si="0"/>
        <v>43099</v>
      </c>
      <c r="K6" s="40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33">
        <f t="shared" ref="E7:E59" si="1">K6+1</f>
        <v>43101</v>
      </c>
      <c r="F7" s="14">
        <f t="shared" ref="F7:K22" si="2">E7+1</f>
        <v>43102</v>
      </c>
      <c r="G7" s="14">
        <f t="shared" si="2"/>
        <v>43103</v>
      </c>
      <c r="H7" s="14">
        <f t="shared" si="2"/>
        <v>43104</v>
      </c>
      <c r="I7" s="14">
        <f t="shared" si="2"/>
        <v>43105</v>
      </c>
      <c r="J7" s="40">
        <f t="shared" si="2"/>
        <v>43106</v>
      </c>
      <c r="K7" s="40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14">
        <f t="shared" si="2"/>
        <v>43137</v>
      </c>
      <c r="G12" s="14">
        <f t="shared" si="2"/>
        <v>43138</v>
      </c>
      <c r="H12" s="14">
        <f t="shared" si="2"/>
        <v>43139</v>
      </c>
      <c r="I12" s="14">
        <f t="shared" si="2"/>
        <v>43140</v>
      </c>
      <c r="J12" s="40">
        <f t="shared" si="2"/>
        <v>43141</v>
      </c>
      <c r="K12" s="40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43143</v>
      </c>
      <c r="F13" s="14">
        <f t="shared" si="2"/>
        <v>43144</v>
      </c>
      <c r="G13" s="14">
        <f t="shared" si="2"/>
        <v>43145</v>
      </c>
      <c r="H13" s="14">
        <f t="shared" si="2"/>
        <v>43146</v>
      </c>
      <c r="I13" s="14">
        <f t="shared" si="2"/>
        <v>43147</v>
      </c>
      <c r="J13" s="40">
        <f t="shared" si="2"/>
        <v>43148</v>
      </c>
      <c r="K13" s="40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43150</v>
      </c>
      <c r="F14" s="14">
        <f t="shared" si="2"/>
        <v>43151</v>
      </c>
      <c r="G14" s="14">
        <f t="shared" si="2"/>
        <v>43152</v>
      </c>
      <c r="H14" s="14">
        <f t="shared" si="2"/>
        <v>43153</v>
      </c>
      <c r="I14" s="14">
        <f t="shared" si="2"/>
        <v>43154</v>
      </c>
      <c r="J14" s="40">
        <f t="shared" si="2"/>
        <v>43155</v>
      </c>
      <c r="K14" s="40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33">
        <f t="shared" si="1"/>
        <v>43157</v>
      </c>
      <c r="F15" s="14">
        <f t="shared" si="2"/>
        <v>43158</v>
      </c>
      <c r="G15" s="14">
        <f t="shared" si="2"/>
        <v>43159</v>
      </c>
      <c r="H15" s="14">
        <f t="shared" si="2"/>
        <v>43160</v>
      </c>
      <c r="I15" s="14">
        <f t="shared" si="2"/>
        <v>43161</v>
      </c>
      <c r="J15" s="40">
        <f t="shared" si="2"/>
        <v>43162</v>
      </c>
      <c r="K15" s="40">
        <f t="shared" si="2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43164</v>
      </c>
      <c r="F16" s="14">
        <f t="shared" si="2"/>
        <v>43165</v>
      </c>
      <c r="G16" s="14">
        <f t="shared" si="2"/>
        <v>43166</v>
      </c>
      <c r="H16" s="14">
        <f t="shared" si="2"/>
        <v>43167</v>
      </c>
      <c r="I16" s="14">
        <f t="shared" si="2"/>
        <v>43168</v>
      </c>
      <c r="J16" s="40">
        <f t="shared" si="2"/>
        <v>43169</v>
      </c>
      <c r="K16" s="40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33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40">
        <f t="shared" si="2"/>
        <v>43197</v>
      </c>
      <c r="K20" s="40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43199</v>
      </c>
      <c r="F21" s="14">
        <f t="shared" si="2"/>
        <v>43200</v>
      </c>
      <c r="G21" s="14">
        <f t="shared" si="2"/>
        <v>43201</v>
      </c>
      <c r="H21" s="14">
        <f t="shared" si="2"/>
        <v>43202</v>
      </c>
      <c r="I21" s="14">
        <f t="shared" si="2"/>
        <v>43203</v>
      </c>
      <c r="J21" s="40">
        <f t="shared" si="2"/>
        <v>43204</v>
      </c>
      <c r="K21" s="40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33">
        <f t="shared" si="1"/>
        <v>43206</v>
      </c>
      <c r="F22" s="14">
        <f t="shared" si="2"/>
        <v>43207</v>
      </c>
      <c r="G22" s="14">
        <f t="shared" si="2"/>
        <v>43208</v>
      </c>
      <c r="H22" s="14">
        <f t="shared" si="2"/>
        <v>43209</v>
      </c>
      <c r="I22" s="14">
        <f t="shared" si="2"/>
        <v>43210</v>
      </c>
      <c r="J22" s="40">
        <f t="shared" si="2"/>
        <v>43211</v>
      </c>
      <c r="K22" s="40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43213</v>
      </c>
      <c r="F23" s="14">
        <f t="shared" ref="F23:K54" si="4">E23+1</f>
        <v>43214</v>
      </c>
      <c r="G23" s="14">
        <f t="shared" si="4"/>
        <v>43215</v>
      </c>
      <c r="H23" s="14">
        <f t="shared" si="4"/>
        <v>43216</v>
      </c>
      <c r="I23" s="14">
        <f t="shared" si="4"/>
        <v>43217</v>
      </c>
      <c r="J23" s="40">
        <f t="shared" si="4"/>
        <v>43218</v>
      </c>
      <c r="K23" s="40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33">
        <f t="shared" si="1"/>
        <v>43220</v>
      </c>
      <c r="F24" s="14">
        <f t="shared" si="4"/>
        <v>43221</v>
      </c>
      <c r="G24" s="14">
        <f t="shared" si="4"/>
        <v>43222</v>
      </c>
      <c r="H24" s="14">
        <f t="shared" si="4"/>
        <v>43223</v>
      </c>
      <c r="I24" s="14">
        <f t="shared" si="4"/>
        <v>43224</v>
      </c>
      <c r="J24" s="40">
        <f t="shared" si="4"/>
        <v>43225</v>
      </c>
      <c r="K24" s="40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33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40">
        <f t="shared" si="4"/>
        <v>43288</v>
      </c>
      <c r="K33" s="40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43290</v>
      </c>
      <c r="F34" s="14">
        <f t="shared" si="4"/>
        <v>43291</v>
      </c>
      <c r="G34" s="14">
        <f t="shared" si="4"/>
        <v>43292</v>
      </c>
      <c r="H34" s="14">
        <f t="shared" si="4"/>
        <v>43293</v>
      </c>
      <c r="I34" s="14">
        <f t="shared" si="4"/>
        <v>43294</v>
      </c>
      <c r="J34" s="40">
        <f t="shared" si="4"/>
        <v>43295</v>
      </c>
      <c r="K34" s="40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33">
        <f t="shared" si="1"/>
        <v>43297</v>
      </c>
      <c r="F35" s="14">
        <f t="shared" si="4"/>
        <v>43298</v>
      </c>
      <c r="G35" s="14">
        <f t="shared" si="4"/>
        <v>43299</v>
      </c>
      <c r="H35" s="14">
        <f t="shared" si="4"/>
        <v>43300</v>
      </c>
      <c r="I35" s="14">
        <f t="shared" si="4"/>
        <v>43301</v>
      </c>
      <c r="J35" s="40">
        <f t="shared" si="4"/>
        <v>43302</v>
      </c>
      <c r="K35" s="40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33">
        <f t="shared" si="1"/>
        <v>43304</v>
      </c>
      <c r="F36" s="14">
        <f t="shared" si="4"/>
        <v>43305</v>
      </c>
      <c r="G36" s="14">
        <f t="shared" si="4"/>
        <v>43306</v>
      </c>
      <c r="H36" s="14">
        <f t="shared" si="4"/>
        <v>43307</v>
      </c>
      <c r="I36" s="14">
        <f t="shared" si="4"/>
        <v>43308</v>
      </c>
      <c r="J36" s="40">
        <f t="shared" si="4"/>
        <v>43309</v>
      </c>
      <c r="K36" s="40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33">
        <f t="shared" si="1"/>
        <v>43311</v>
      </c>
      <c r="F37" s="14">
        <f t="shared" si="4"/>
        <v>43312</v>
      </c>
      <c r="G37" s="14">
        <f t="shared" si="4"/>
        <v>43313</v>
      </c>
      <c r="H37" s="14">
        <f t="shared" si="4"/>
        <v>43314</v>
      </c>
      <c r="I37" s="14">
        <f t="shared" si="4"/>
        <v>43315</v>
      </c>
      <c r="J37" s="40">
        <f t="shared" si="4"/>
        <v>43316</v>
      </c>
      <c r="K37" s="40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33">
        <f t="shared" si="1"/>
        <v>43318</v>
      </c>
      <c r="F38" s="14">
        <f t="shared" si="4"/>
        <v>43319</v>
      </c>
      <c r="G38" s="14">
        <f t="shared" si="4"/>
        <v>43320</v>
      </c>
      <c r="H38" s="14">
        <f t="shared" si="4"/>
        <v>43321</v>
      </c>
      <c r="I38" s="14">
        <f t="shared" si="4"/>
        <v>43322</v>
      </c>
      <c r="J38" s="40">
        <f t="shared" si="4"/>
        <v>43323</v>
      </c>
      <c r="K38" s="40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33">
        <f t="shared" si="1"/>
        <v>43325</v>
      </c>
      <c r="F39" s="14">
        <f t="shared" si="4"/>
        <v>43326</v>
      </c>
      <c r="G39" s="14">
        <f t="shared" si="4"/>
        <v>43327</v>
      </c>
      <c r="H39" s="14">
        <f t="shared" si="4"/>
        <v>43328</v>
      </c>
      <c r="I39" s="14">
        <f t="shared" si="4"/>
        <v>43329</v>
      </c>
      <c r="J39" s="40">
        <f t="shared" si="4"/>
        <v>43330</v>
      </c>
      <c r="K39" s="40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33">
        <f t="shared" si="1"/>
        <v>43332</v>
      </c>
      <c r="F40" s="14">
        <f t="shared" si="4"/>
        <v>43333</v>
      </c>
      <c r="G40" s="14">
        <f t="shared" si="4"/>
        <v>43334</v>
      </c>
      <c r="H40" s="14">
        <f t="shared" si="4"/>
        <v>43335</v>
      </c>
      <c r="I40" s="14">
        <f t="shared" si="4"/>
        <v>43336</v>
      </c>
      <c r="J40" s="40">
        <f t="shared" si="4"/>
        <v>43337</v>
      </c>
      <c r="K40" s="40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33">
        <f t="shared" si="1"/>
        <v>43339</v>
      </c>
      <c r="F41" s="14">
        <f t="shared" si="4"/>
        <v>43340</v>
      </c>
      <c r="G41" s="14">
        <f t="shared" si="4"/>
        <v>43341</v>
      </c>
      <c r="H41" s="14">
        <f t="shared" si="4"/>
        <v>43342</v>
      </c>
      <c r="I41" s="14">
        <f t="shared" si="4"/>
        <v>43343</v>
      </c>
      <c r="J41" s="40">
        <f t="shared" si="4"/>
        <v>43344</v>
      </c>
      <c r="K41" s="40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33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40">
        <f t="shared" si="4"/>
        <v>43393</v>
      </c>
      <c r="K48" s="40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33">
        <f t="shared" si="1"/>
        <v>43395</v>
      </c>
      <c r="F49" s="14">
        <f t="shared" si="4"/>
        <v>43396</v>
      </c>
      <c r="G49" s="14">
        <f t="shared" si="4"/>
        <v>43397</v>
      </c>
      <c r="H49" s="14">
        <f t="shared" si="4"/>
        <v>43398</v>
      </c>
      <c r="I49" s="14">
        <f t="shared" si="4"/>
        <v>43399</v>
      </c>
      <c r="J49" s="40">
        <f t="shared" si="4"/>
        <v>43400</v>
      </c>
      <c r="K49" s="40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33">
        <f t="shared" si="1"/>
        <v>43402</v>
      </c>
      <c r="F50" s="14">
        <f t="shared" si="4"/>
        <v>43403</v>
      </c>
      <c r="G50" s="14">
        <f t="shared" si="4"/>
        <v>43404</v>
      </c>
      <c r="H50" s="14">
        <f t="shared" si="4"/>
        <v>43405</v>
      </c>
      <c r="I50" s="14">
        <f t="shared" si="4"/>
        <v>43406</v>
      </c>
      <c r="J50" s="40">
        <f t="shared" si="4"/>
        <v>43407</v>
      </c>
      <c r="K50" s="40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33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40">
        <f t="shared" si="5"/>
        <v>43456</v>
      </c>
      <c r="K57" s="40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33">
        <f t="shared" si="1"/>
        <v>43458</v>
      </c>
      <c r="F58" s="14">
        <f t="shared" si="5"/>
        <v>43459</v>
      </c>
      <c r="G58" s="14">
        <f t="shared" si="5"/>
        <v>43460</v>
      </c>
      <c r="H58" s="14">
        <f t="shared" si="5"/>
        <v>43461</v>
      </c>
      <c r="I58" s="14">
        <f t="shared" si="5"/>
        <v>43462</v>
      </c>
      <c r="J58" s="40">
        <f t="shared" si="5"/>
        <v>43463</v>
      </c>
      <c r="K58" s="40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33">
        <f t="shared" si="1"/>
        <v>43465</v>
      </c>
      <c r="F59" s="14">
        <f t="shared" si="5"/>
        <v>43466</v>
      </c>
      <c r="G59" s="14">
        <f>F59+1</f>
        <v>43467</v>
      </c>
      <c r="H59" s="14">
        <f>G59+1</f>
        <v>43468</v>
      </c>
      <c r="I59" s="14">
        <f>H59+1</f>
        <v>43469</v>
      </c>
      <c r="J59" s="40">
        <f>I59+1</f>
        <v>43470</v>
      </c>
      <c r="K59" s="40">
        <f>J59+1</f>
        <v>43471</v>
      </c>
    </row>
    <row r="60" spans="1:12" ht="18" customHeight="1">
      <c r="A60" s="38">
        <f t="shared" ref="A60:A77" si="6">INT((E60-DATE(YEAR(E60-WEEKDAY(E60-1)+4),1,3)+WEEKDAY(DATE(YEAR(E60-WEEKDAY(E60-1)+4),1,3))+ 5)/7)</f>
        <v>2</v>
      </c>
      <c r="C60" s="15" t="str">
        <f t="array" ref="C60">IF(SUM(1*(DAY(E60:K60)=1))&gt;0,K60,"")</f>
        <v/>
      </c>
      <c r="D60" s="3"/>
      <c r="E60" s="33">
        <f t="shared" ref="E60:E77" si="7">K59+1</f>
        <v>43472</v>
      </c>
      <c r="F60" s="14">
        <f t="shared" ref="F60:F77" si="8">E60+1</f>
        <v>43473</v>
      </c>
      <c r="G60" s="14">
        <f t="shared" ref="G60:G77" si="9">F60+1</f>
        <v>43474</v>
      </c>
      <c r="H60" s="14">
        <f t="shared" ref="H60:H77" si="10">G60+1</f>
        <v>43475</v>
      </c>
      <c r="I60" s="14">
        <f t="shared" ref="I60:I77" si="11">H60+1</f>
        <v>43476</v>
      </c>
      <c r="J60" s="40">
        <f t="shared" ref="J60:J77" si="12">I60+1</f>
        <v>43477</v>
      </c>
      <c r="K60" s="40">
        <f t="shared" ref="K60:K77" si="13">J60+1</f>
        <v>43478</v>
      </c>
    </row>
    <row r="61" spans="1:12" ht="18" customHeight="1">
      <c r="A61" s="38">
        <f t="shared" si="6"/>
        <v>3</v>
      </c>
      <c r="C61" s="15" t="str">
        <f t="array" ref="C61">IF(SUM(1*(DAY(E61:K61)=1))&gt;0,K61,"")</f>
        <v/>
      </c>
      <c r="D61" s="3"/>
      <c r="E61" s="33">
        <f t="shared" si="7"/>
        <v>43479</v>
      </c>
      <c r="F61" s="14">
        <f t="shared" si="8"/>
        <v>43480</v>
      </c>
      <c r="G61" s="14">
        <f t="shared" si="9"/>
        <v>43481</v>
      </c>
      <c r="H61" s="14">
        <f t="shared" si="10"/>
        <v>43482</v>
      </c>
      <c r="I61" s="14">
        <f t="shared" si="11"/>
        <v>43483</v>
      </c>
      <c r="J61" s="40">
        <f t="shared" si="12"/>
        <v>43484</v>
      </c>
      <c r="K61" s="40">
        <f t="shared" si="13"/>
        <v>43485</v>
      </c>
    </row>
    <row r="62" spans="1:12" ht="18" customHeight="1">
      <c r="A62" s="38">
        <f t="shared" si="6"/>
        <v>4</v>
      </c>
      <c r="C62" s="15" t="str">
        <f t="array" ref="C62">IF(SUM(1*(DAY(E62:K62)=1))&gt;0,K62,"")</f>
        <v/>
      </c>
      <c r="D62" s="3"/>
      <c r="E62" s="33">
        <f t="shared" si="7"/>
        <v>43486</v>
      </c>
      <c r="F62" s="14">
        <f t="shared" si="8"/>
        <v>43487</v>
      </c>
      <c r="G62" s="14">
        <f t="shared" si="9"/>
        <v>43488</v>
      </c>
      <c r="H62" s="14">
        <f t="shared" si="10"/>
        <v>43489</v>
      </c>
      <c r="I62" s="14">
        <f t="shared" si="11"/>
        <v>43490</v>
      </c>
      <c r="J62" s="40">
        <f t="shared" si="12"/>
        <v>43491</v>
      </c>
      <c r="K62" s="40">
        <f t="shared" si="13"/>
        <v>43492</v>
      </c>
    </row>
    <row r="63" spans="1:12" ht="18" customHeight="1">
      <c r="A63" s="38">
        <f t="shared" si="6"/>
        <v>5</v>
      </c>
      <c r="C63" s="15">
        <f t="array" ref="C63">IF(SUM(1*(DAY(E63:K63)=1))&gt;0,K63,"")</f>
        <v>43499</v>
      </c>
      <c r="D63" s="3"/>
      <c r="E63" s="33">
        <f t="shared" si="7"/>
        <v>43493</v>
      </c>
      <c r="F63" s="14">
        <f t="shared" si="8"/>
        <v>43494</v>
      </c>
      <c r="G63" s="14">
        <f t="shared" si="9"/>
        <v>43495</v>
      </c>
      <c r="H63" s="14">
        <f t="shared" si="10"/>
        <v>43496</v>
      </c>
      <c r="I63" s="14">
        <f t="shared" si="11"/>
        <v>43497</v>
      </c>
      <c r="J63" s="40">
        <f t="shared" si="12"/>
        <v>43498</v>
      </c>
      <c r="K63" s="40">
        <f t="shared" si="13"/>
        <v>43499</v>
      </c>
    </row>
    <row r="64" spans="1:12" ht="18" customHeight="1">
      <c r="A64" s="38">
        <f t="shared" si="6"/>
        <v>6</v>
      </c>
      <c r="C64" s="15" t="str">
        <f t="array" ref="C64">IF(SUM(1*(DAY(E64:K64)=1))&gt;0,K64,"")</f>
        <v/>
      </c>
      <c r="D64" s="3"/>
      <c r="E64" s="33">
        <f t="shared" si="7"/>
        <v>43500</v>
      </c>
      <c r="F64" s="14">
        <f t="shared" si="8"/>
        <v>43501</v>
      </c>
      <c r="G64" s="14">
        <f t="shared" si="9"/>
        <v>43502</v>
      </c>
      <c r="H64" s="14">
        <f t="shared" si="10"/>
        <v>43503</v>
      </c>
      <c r="I64" s="14">
        <f t="shared" si="11"/>
        <v>43504</v>
      </c>
      <c r="J64" s="40">
        <f t="shared" si="12"/>
        <v>43505</v>
      </c>
      <c r="K64" s="40">
        <f t="shared" si="13"/>
        <v>43506</v>
      </c>
    </row>
    <row r="65" spans="1:11" ht="18" customHeight="1">
      <c r="A65" s="38">
        <f t="shared" si="6"/>
        <v>7</v>
      </c>
      <c r="C65" s="15" t="str">
        <f t="array" ref="C65">IF(SUM(1*(DAY(E65:K65)=1))&gt;0,K65,"")</f>
        <v/>
      </c>
      <c r="D65" s="3"/>
      <c r="E65" s="33">
        <f t="shared" si="7"/>
        <v>43507</v>
      </c>
      <c r="F65" s="14">
        <f t="shared" si="8"/>
        <v>43508</v>
      </c>
      <c r="G65" s="14">
        <f t="shared" si="9"/>
        <v>43509</v>
      </c>
      <c r="H65" s="14">
        <f t="shared" si="10"/>
        <v>43510</v>
      </c>
      <c r="I65" s="14">
        <f t="shared" si="11"/>
        <v>43511</v>
      </c>
      <c r="J65" s="40">
        <f t="shared" si="12"/>
        <v>43512</v>
      </c>
      <c r="K65" s="40">
        <f t="shared" si="13"/>
        <v>43513</v>
      </c>
    </row>
    <row r="66" spans="1:11" ht="18" customHeight="1">
      <c r="A66" s="38">
        <f t="shared" si="6"/>
        <v>8</v>
      </c>
      <c r="C66" s="15" t="str">
        <f t="array" ref="C66">IF(SUM(1*(DAY(E66:K66)=1))&gt;0,K66,"")</f>
        <v/>
      </c>
      <c r="D66" s="3"/>
      <c r="E66" s="33">
        <f t="shared" si="7"/>
        <v>43514</v>
      </c>
      <c r="F66" s="14">
        <f t="shared" si="8"/>
        <v>43515</v>
      </c>
      <c r="G66" s="14">
        <f t="shared" si="9"/>
        <v>43516</v>
      </c>
      <c r="H66" s="14">
        <f t="shared" si="10"/>
        <v>43517</v>
      </c>
      <c r="I66" s="14">
        <f t="shared" si="11"/>
        <v>43518</v>
      </c>
      <c r="J66" s="40">
        <f t="shared" si="12"/>
        <v>43519</v>
      </c>
      <c r="K66" s="40">
        <f t="shared" si="13"/>
        <v>43520</v>
      </c>
    </row>
    <row r="67" spans="1:11" ht="18" customHeight="1">
      <c r="A67" s="38">
        <f t="shared" si="6"/>
        <v>9</v>
      </c>
      <c r="C67" s="15">
        <f t="array" ref="C67">IF(SUM(1*(DAY(E67:K67)=1))&gt;0,K67,"")</f>
        <v>43527</v>
      </c>
      <c r="D67" s="3"/>
      <c r="E67" s="33">
        <f t="shared" si="7"/>
        <v>43521</v>
      </c>
      <c r="F67" s="14">
        <f t="shared" si="8"/>
        <v>43522</v>
      </c>
      <c r="G67" s="14">
        <f t="shared" si="9"/>
        <v>43523</v>
      </c>
      <c r="H67" s="14">
        <f t="shared" si="10"/>
        <v>43524</v>
      </c>
      <c r="I67" s="14">
        <f t="shared" si="11"/>
        <v>43525</v>
      </c>
      <c r="J67" s="40">
        <f t="shared" si="12"/>
        <v>43526</v>
      </c>
      <c r="K67" s="40">
        <f t="shared" si="13"/>
        <v>43527</v>
      </c>
    </row>
    <row r="68" spans="1:11" ht="18" customHeight="1">
      <c r="A68" s="38">
        <f t="shared" si="6"/>
        <v>10</v>
      </c>
      <c r="C68" s="15" t="str">
        <f t="array" ref="C68">IF(SUM(1*(DAY(E68:K68)=1))&gt;0,K68,"")</f>
        <v/>
      </c>
      <c r="D68" s="3"/>
      <c r="E68" s="33">
        <f t="shared" si="7"/>
        <v>43528</v>
      </c>
      <c r="F68" s="14">
        <f t="shared" si="8"/>
        <v>43529</v>
      </c>
      <c r="G68" s="14">
        <f t="shared" si="9"/>
        <v>43530</v>
      </c>
      <c r="H68" s="14">
        <f t="shared" si="10"/>
        <v>43531</v>
      </c>
      <c r="I68" s="14">
        <f t="shared" si="11"/>
        <v>43532</v>
      </c>
      <c r="J68" s="40">
        <f t="shared" si="12"/>
        <v>43533</v>
      </c>
      <c r="K68" s="40">
        <f t="shared" si="13"/>
        <v>43534</v>
      </c>
    </row>
    <row r="69" spans="1:11" ht="18" customHeight="1">
      <c r="A69" s="38">
        <f t="shared" si="6"/>
        <v>11</v>
      </c>
      <c r="C69" s="15" t="str">
        <f t="array" ref="C69">IF(SUM(1*(DAY(E69:K69)=1))&gt;0,K69,"")</f>
        <v/>
      </c>
      <c r="D69" s="3"/>
      <c r="E69" s="33">
        <f t="shared" si="7"/>
        <v>43535</v>
      </c>
      <c r="F69" s="14">
        <f t="shared" si="8"/>
        <v>43536</v>
      </c>
      <c r="G69" s="14">
        <f t="shared" si="9"/>
        <v>43537</v>
      </c>
      <c r="H69" s="14">
        <f t="shared" si="10"/>
        <v>43538</v>
      </c>
      <c r="I69" s="14">
        <f t="shared" si="11"/>
        <v>43539</v>
      </c>
      <c r="J69" s="40">
        <f t="shared" si="12"/>
        <v>43540</v>
      </c>
      <c r="K69" s="40">
        <f t="shared" si="13"/>
        <v>43541</v>
      </c>
    </row>
    <row r="70" spans="1:11" ht="18" customHeight="1">
      <c r="A70" s="38">
        <f t="shared" si="6"/>
        <v>12</v>
      </c>
      <c r="C70" s="15" t="str">
        <f t="array" ref="C70">IF(SUM(1*(DAY(E70:K70)=1))&gt;0,K70,"")</f>
        <v/>
      </c>
      <c r="D70" s="3"/>
      <c r="E70" s="33">
        <f t="shared" si="7"/>
        <v>43542</v>
      </c>
      <c r="F70" s="14">
        <f t="shared" si="8"/>
        <v>43543</v>
      </c>
      <c r="G70" s="14">
        <f t="shared" si="9"/>
        <v>43544</v>
      </c>
      <c r="H70" s="14">
        <f t="shared" si="10"/>
        <v>43545</v>
      </c>
      <c r="I70" s="14">
        <f t="shared" si="11"/>
        <v>43546</v>
      </c>
      <c r="J70" s="40">
        <f t="shared" si="12"/>
        <v>43547</v>
      </c>
      <c r="K70" s="40">
        <f t="shared" si="13"/>
        <v>43548</v>
      </c>
    </row>
    <row r="71" spans="1:11" ht="18" customHeight="1">
      <c r="A71" s="38">
        <f t="shared" si="6"/>
        <v>13</v>
      </c>
      <c r="C71" s="15" t="str">
        <f t="array" ref="C71">IF(SUM(1*(DAY(E71:K71)=1))&gt;0,K71,"")</f>
        <v/>
      </c>
      <c r="D71" s="3"/>
      <c r="E71" s="33">
        <f t="shared" si="7"/>
        <v>43549</v>
      </c>
      <c r="F71" s="14">
        <f t="shared" si="8"/>
        <v>43550</v>
      </c>
      <c r="G71" s="14">
        <f t="shared" si="9"/>
        <v>43551</v>
      </c>
      <c r="H71" s="14">
        <f t="shared" si="10"/>
        <v>43552</v>
      </c>
      <c r="I71" s="14">
        <f t="shared" si="11"/>
        <v>43553</v>
      </c>
      <c r="J71" s="40">
        <f t="shared" si="12"/>
        <v>43554</v>
      </c>
      <c r="K71" s="40">
        <f t="shared" si="13"/>
        <v>43555</v>
      </c>
    </row>
    <row r="72" spans="1:11" ht="18" customHeight="1">
      <c r="A72" s="38">
        <f t="shared" si="6"/>
        <v>14</v>
      </c>
      <c r="C72" s="15">
        <f t="array" ref="C72">IF(SUM(1*(DAY(E72:K72)=1))&gt;0,K72,"")</f>
        <v>43562</v>
      </c>
      <c r="D72" s="3"/>
      <c r="E72" s="33">
        <f t="shared" si="7"/>
        <v>43556</v>
      </c>
      <c r="F72" s="14">
        <f t="shared" si="8"/>
        <v>43557</v>
      </c>
      <c r="G72" s="14">
        <f t="shared" si="9"/>
        <v>43558</v>
      </c>
      <c r="H72" s="14">
        <f t="shared" si="10"/>
        <v>43559</v>
      </c>
      <c r="I72" s="14">
        <f t="shared" si="11"/>
        <v>43560</v>
      </c>
      <c r="J72" s="40">
        <f t="shared" si="12"/>
        <v>43561</v>
      </c>
      <c r="K72" s="40">
        <f t="shared" si="13"/>
        <v>43562</v>
      </c>
    </row>
    <row r="73" spans="1:11" ht="18" customHeight="1">
      <c r="A73" s="38">
        <f t="shared" si="6"/>
        <v>15</v>
      </c>
      <c r="C73" s="15" t="str">
        <f t="array" ref="C73">IF(SUM(1*(DAY(E73:K73)=1))&gt;0,K73,"")</f>
        <v/>
      </c>
      <c r="D73" s="3"/>
      <c r="E73" s="33">
        <f t="shared" si="7"/>
        <v>43563</v>
      </c>
      <c r="F73" s="14">
        <f t="shared" si="8"/>
        <v>43564</v>
      </c>
      <c r="G73" s="14">
        <f t="shared" si="9"/>
        <v>43565</v>
      </c>
      <c r="H73" s="14">
        <f t="shared" si="10"/>
        <v>43566</v>
      </c>
      <c r="I73" s="14">
        <f t="shared" si="11"/>
        <v>43567</v>
      </c>
      <c r="J73" s="40">
        <f t="shared" si="12"/>
        <v>43568</v>
      </c>
      <c r="K73" s="40">
        <f t="shared" si="13"/>
        <v>43569</v>
      </c>
    </row>
    <row r="74" spans="1:11" ht="18" customHeight="1">
      <c r="A74" s="38">
        <f t="shared" si="6"/>
        <v>16</v>
      </c>
      <c r="C74" s="15" t="str">
        <f t="array" ref="C74">IF(SUM(1*(DAY(E74:K74)=1))&gt;0,K74,"")</f>
        <v/>
      </c>
      <c r="D74" s="3"/>
      <c r="E74" s="33">
        <f t="shared" si="7"/>
        <v>43570</v>
      </c>
      <c r="F74" s="14">
        <f t="shared" si="8"/>
        <v>43571</v>
      </c>
      <c r="G74" s="14">
        <f t="shared" si="9"/>
        <v>43572</v>
      </c>
      <c r="H74" s="14">
        <f t="shared" si="10"/>
        <v>43573</v>
      </c>
      <c r="I74" s="14">
        <f t="shared" si="11"/>
        <v>43574</v>
      </c>
      <c r="J74" s="40">
        <f t="shared" si="12"/>
        <v>43575</v>
      </c>
      <c r="K74" s="40">
        <f t="shared" si="13"/>
        <v>43576</v>
      </c>
    </row>
    <row r="75" spans="1:11" ht="18" customHeight="1">
      <c r="A75" s="38">
        <f t="shared" si="6"/>
        <v>17</v>
      </c>
      <c r="C75" s="15" t="str">
        <f t="array" ref="C75">IF(SUM(1*(DAY(E75:K75)=1))&gt;0,K75,"")</f>
        <v/>
      </c>
      <c r="D75" s="3"/>
      <c r="E75" s="33">
        <f t="shared" si="7"/>
        <v>43577</v>
      </c>
      <c r="F75" s="14">
        <f t="shared" si="8"/>
        <v>43578</v>
      </c>
      <c r="G75" s="14">
        <f t="shared" si="9"/>
        <v>43579</v>
      </c>
      <c r="H75" s="14">
        <f t="shared" si="10"/>
        <v>43580</v>
      </c>
      <c r="I75" s="14">
        <f t="shared" si="11"/>
        <v>43581</v>
      </c>
      <c r="J75" s="40">
        <f t="shared" si="12"/>
        <v>43582</v>
      </c>
      <c r="K75" s="40">
        <f t="shared" si="13"/>
        <v>43583</v>
      </c>
    </row>
    <row r="76" spans="1:11" ht="18" customHeight="1">
      <c r="A76" s="38">
        <f t="shared" si="6"/>
        <v>18</v>
      </c>
      <c r="C76" s="15">
        <f t="array" ref="C76">IF(SUM(1*(DAY(E76:K76)=1))&gt;0,K76,"")</f>
        <v>43590</v>
      </c>
      <c r="D76" s="3"/>
      <c r="E76" s="33">
        <f t="shared" si="7"/>
        <v>43584</v>
      </c>
      <c r="F76" s="14">
        <f t="shared" si="8"/>
        <v>43585</v>
      </c>
      <c r="G76" s="14">
        <f t="shared" si="9"/>
        <v>43586</v>
      </c>
      <c r="H76" s="14">
        <f t="shared" si="10"/>
        <v>43587</v>
      </c>
      <c r="I76" s="14">
        <f t="shared" si="11"/>
        <v>43588</v>
      </c>
      <c r="J76" s="40">
        <f t="shared" si="12"/>
        <v>43589</v>
      </c>
      <c r="K76" s="40">
        <f t="shared" si="13"/>
        <v>43590</v>
      </c>
    </row>
    <row r="77" spans="1:11" ht="18" customHeight="1">
      <c r="A77" s="38">
        <f t="shared" si="6"/>
        <v>19</v>
      </c>
      <c r="C77" s="15" t="str">
        <f t="array" ref="C77">IF(SUM(1*(DAY(E77:K77)=1))&gt;0,K77,"")</f>
        <v/>
      </c>
      <c r="D77" s="3"/>
      <c r="E77" s="33">
        <f t="shared" si="7"/>
        <v>43591</v>
      </c>
      <c r="F77" s="14">
        <f t="shared" si="8"/>
        <v>43592</v>
      </c>
      <c r="G77" s="14">
        <f t="shared" si="9"/>
        <v>43593</v>
      </c>
      <c r="H77" s="14">
        <f t="shared" si="10"/>
        <v>43594</v>
      </c>
      <c r="I77" s="14">
        <f t="shared" si="11"/>
        <v>43595</v>
      </c>
      <c r="J77" s="40">
        <f t="shared" si="12"/>
        <v>43596</v>
      </c>
      <c r="K77" s="40">
        <f t="shared" si="13"/>
        <v>43597</v>
      </c>
    </row>
    <row r="78" spans="1:11" ht="18" customHeight="1">
      <c r="A78" s="38">
        <f t="shared" ref="A78:A84" si="14">INT((E78-DATE(YEAR(E78-WEEKDAY(E78-1)+4),1,3)+WEEKDAY(DATE(YEAR(E78-WEEKDAY(E78-1)+4),1,3))+ 5)/7)</f>
        <v>20</v>
      </c>
      <c r="C78" s="15" t="str">
        <f t="array" ref="C78">IF(SUM(1*(DAY(E78:K78)=1))&gt;0,K78,"")</f>
        <v/>
      </c>
      <c r="D78" s="3"/>
      <c r="E78" s="33">
        <f t="shared" ref="E78:E84" si="15">K77+1</f>
        <v>43598</v>
      </c>
      <c r="F78" s="14">
        <f t="shared" ref="F78:F84" si="16">E78+1</f>
        <v>43599</v>
      </c>
      <c r="G78" s="14">
        <f t="shared" ref="G78:G84" si="17">F78+1</f>
        <v>43600</v>
      </c>
      <c r="H78" s="14">
        <f t="shared" ref="H78:H84" si="18">G78+1</f>
        <v>43601</v>
      </c>
      <c r="I78" s="14">
        <f t="shared" ref="I78:I84" si="19">H78+1</f>
        <v>43602</v>
      </c>
      <c r="J78" s="40">
        <f t="shared" ref="J78:J84" si="20">I78+1</f>
        <v>43603</v>
      </c>
      <c r="K78" s="40">
        <f t="shared" ref="K78:K84" si="21">J78+1</f>
        <v>43604</v>
      </c>
    </row>
    <row r="79" spans="1:11" ht="18" customHeight="1">
      <c r="A79" s="38">
        <f t="shared" si="14"/>
        <v>21</v>
      </c>
      <c r="C79" s="15" t="str">
        <f t="array" ref="C79">IF(SUM(1*(DAY(E79:K79)=1))&gt;0,K79,"")</f>
        <v/>
      </c>
      <c r="D79" s="3"/>
      <c r="E79" s="33">
        <f t="shared" si="15"/>
        <v>43605</v>
      </c>
      <c r="F79" s="14">
        <f t="shared" si="16"/>
        <v>43606</v>
      </c>
      <c r="G79" s="14">
        <f t="shared" si="17"/>
        <v>43607</v>
      </c>
      <c r="H79" s="14">
        <f t="shared" si="18"/>
        <v>43608</v>
      </c>
      <c r="I79" s="14">
        <f t="shared" si="19"/>
        <v>43609</v>
      </c>
      <c r="J79" s="40">
        <f t="shared" si="20"/>
        <v>43610</v>
      </c>
      <c r="K79" s="40">
        <f t="shared" si="21"/>
        <v>43611</v>
      </c>
    </row>
    <row r="80" spans="1:11" ht="18" customHeight="1">
      <c r="A80" s="38">
        <f t="shared" si="14"/>
        <v>22</v>
      </c>
      <c r="C80" s="15">
        <f t="array" ref="C80">IF(SUM(1*(DAY(E80:K80)=1))&gt;0,K80,"")</f>
        <v>43618</v>
      </c>
      <c r="D80" s="3"/>
      <c r="E80" s="33">
        <f t="shared" si="15"/>
        <v>43612</v>
      </c>
      <c r="F80" s="14">
        <f t="shared" si="16"/>
        <v>43613</v>
      </c>
      <c r="G80" s="14">
        <f t="shared" si="17"/>
        <v>43614</v>
      </c>
      <c r="H80" s="14">
        <f t="shared" si="18"/>
        <v>43615</v>
      </c>
      <c r="I80" s="14">
        <f t="shared" si="19"/>
        <v>43616</v>
      </c>
      <c r="J80" s="40">
        <f t="shared" si="20"/>
        <v>43617</v>
      </c>
      <c r="K80" s="40">
        <f t="shared" si="21"/>
        <v>43618</v>
      </c>
    </row>
    <row r="81" spans="1:13" ht="18" customHeight="1">
      <c r="A81" s="38">
        <f t="shared" si="14"/>
        <v>23</v>
      </c>
      <c r="C81" s="15" t="str">
        <f t="array" ref="C81">IF(SUM(1*(DAY(E81:K81)=1))&gt;0,K81,"")</f>
        <v/>
      </c>
      <c r="D81" s="3"/>
      <c r="E81" s="33">
        <f t="shared" si="15"/>
        <v>43619</v>
      </c>
      <c r="F81" s="14">
        <f t="shared" si="16"/>
        <v>43620</v>
      </c>
      <c r="G81" s="14">
        <f t="shared" si="17"/>
        <v>43621</v>
      </c>
      <c r="H81" s="14">
        <f t="shared" si="18"/>
        <v>43622</v>
      </c>
      <c r="I81" s="14">
        <f t="shared" si="19"/>
        <v>43623</v>
      </c>
      <c r="J81" s="40">
        <f t="shared" si="20"/>
        <v>43624</v>
      </c>
      <c r="K81" s="40">
        <f t="shared" si="21"/>
        <v>43625</v>
      </c>
    </row>
    <row r="82" spans="1:13" ht="18" customHeight="1">
      <c r="A82" s="38">
        <f t="shared" si="14"/>
        <v>24</v>
      </c>
      <c r="C82" s="15" t="str">
        <f t="array" ref="C82">IF(SUM(1*(DAY(E82:K82)=1))&gt;0,K82,"")</f>
        <v/>
      </c>
      <c r="D82" s="3"/>
      <c r="E82" s="33">
        <f t="shared" si="15"/>
        <v>43626</v>
      </c>
      <c r="F82" s="14">
        <f t="shared" si="16"/>
        <v>43627</v>
      </c>
      <c r="G82" s="14">
        <f t="shared" si="17"/>
        <v>43628</v>
      </c>
      <c r="H82" s="14">
        <f t="shared" si="18"/>
        <v>43629</v>
      </c>
      <c r="I82" s="14">
        <f t="shared" si="19"/>
        <v>43630</v>
      </c>
      <c r="J82" s="40">
        <f t="shared" si="20"/>
        <v>43631</v>
      </c>
      <c r="K82" s="40">
        <f t="shared" si="21"/>
        <v>43632</v>
      </c>
    </row>
    <row r="83" spans="1:13" ht="18" customHeight="1">
      <c r="A83" s="38">
        <f t="shared" si="14"/>
        <v>25</v>
      </c>
      <c r="C83" s="15" t="str">
        <f t="array" ref="C83">IF(SUM(1*(DAY(E83:K83)=1))&gt;0,K83,"")</f>
        <v/>
      </c>
      <c r="D83" s="3"/>
      <c r="E83" s="33">
        <f t="shared" si="15"/>
        <v>43633</v>
      </c>
      <c r="F83" s="14">
        <f t="shared" si="16"/>
        <v>43634</v>
      </c>
      <c r="G83" s="14">
        <f t="shared" si="17"/>
        <v>43635</v>
      </c>
      <c r="H83" s="14">
        <f t="shared" si="18"/>
        <v>43636</v>
      </c>
      <c r="I83" s="14">
        <f t="shared" si="19"/>
        <v>43637</v>
      </c>
      <c r="J83" s="40">
        <f t="shared" si="20"/>
        <v>43638</v>
      </c>
      <c r="K83" s="40">
        <f t="shared" si="21"/>
        <v>43639</v>
      </c>
    </row>
    <row r="84" spans="1:13" ht="18" customHeight="1">
      <c r="A84" s="38">
        <f t="shared" si="14"/>
        <v>26</v>
      </c>
      <c r="C84" s="15" t="str">
        <f t="array" ref="C84">IF(SUM(1*(DAY(E84:K84)=1))&gt;0,K84,"")</f>
        <v/>
      </c>
      <c r="D84" s="3"/>
      <c r="E84" s="33">
        <f t="shared" si="15"/>
        <v>43640</v>
      </c>
      <c r="F84" s="14">
        <f t="shared" si="16"/>
        <v>43641</v>
      </c>
      <c r="G84" s="14">
        <f t="shared" si="17"/>
        <v>43642</v>
      </c>
      <c r="H84" s="14">
        <f t="shared" si="18"/>
        <v>43643</v>
      </c>
      <c r="I84" s="14">
        <f t="shared" si="19"/>
        <v>43644</v>
      </c>
      <c r="J84" s="40">
        <f t="shared" si="20"/>
        <v>43645</v>
      </c>
      <c r="K84" s="40">
        <f t="shared" si="21"/>
        <v>43646</v>
      </c>
    </row>
    <row r="85" spans="1:13" ht="18" customHeight="1">
      <c r="A85" s="38">
        <f>INT((E85-DATE(YEAR(E85-WEEKDAY(E85-1)+4),1,3)+WEEKDAY(DATE(YEAR(E85-WEEKDAY(E85-1)+4),1,3))+ 5)/7)</f>
        <v>27</v>
      </c>
      <c r="C85" s="15">
        <f t="array" ref="C85">IF(SUM(1*(DAY(E85:K85)=1))&gt;0,K85,"")</f>
        <v>43653</v>
      </c>
      <c r="D85" s="3"/>
      <c r="E85" s="33">
        <f>K84+1</f>
        <v>43647</v>
      </c>
      <c r="F85" s="14">
        <f t="shared" ref="F85:K89" si="22">E85+1</f>
        <v>43648</v>
      </c>
      <c r="G85" s="14">
        <f t="shared" si="22"/>
        <v>43649</v>
      </c>
      <c r="H85" s="14">
        <f t="shared" si="22"/>
        <v>43650</v>
      </c>
      <c r="I85" s="14">
        <f t="shared" si="22"/>
        <v>43651</v>
      </c>
      <c r="J85" s="40">
        <f t="shared" si="22"/>
        <v>43652</v>
      </c>
      <c r="K85" s="40">
        <f t="shared" si="22"/>
        <v>43653</v>
      </c>
    </row>
    <row r="86" spans="1:13" ht="18" customHeight="1">
      <c r="A86" s="38">
        <f>INT((E86-DATE(YEAR(E86-WEEKDAY(E86-1)+4),1,3)+WEEKDAY(DATE(YEAR(E86-WEEKDAY(E86-1)+4),1,3))+ 5)/7)</f>
        <v>28</v>
      </c>
      <c r="C86" s="15" t="str">
        <f t="array" ref="C86">IF(SUM(1*(DAY(E86:K86)=1))&gt;0,K86,"")</f>
        <v/>
      </c>
      <c r="D86" s="3"/>
      <c r="E86" s="33">
        <f>K85+1</f>
        <v>43654</v>
      </c>
      <c r="F86" s="14">
        <f t="shared" si="22"/>
        <v>43655</v>
      </c>
      <c r="G86" s="14">
        <f t="shared" si="22"/>
        <v>43656</v>
      </c>
      <c r="H86" s="14">
        <f t="shared" si="22"/>
        <v>43657</v>
      </c>
      <c r="I86" s="14">
        <f t="shared" si="22"/>
        <v>43658</v>
      </c>
      <c r="J86" s="40">
        <f t="shared" si="22"/>
        <v>43659</v>
      </c>
      <c r="K86" s="40">
        <f t="shared" si="22"/>
        <v>43660</v>
      </c>
    </row>
    <row r="87" spans="1:13" ht="18" customHeight="1">
      <c r="A87" s="38">
        <f>INT((E87-DATE(YEAR(E87-WEEKDAY(E87-1)+4),1,3)+WEEKDAY(DATE(YEAR(E87-WEEKDAY(E87-1)+4),1,3))+ 5)/7)</f>
        <v>29</v>
      </c>
      <c r="C87" s="15" t="str">
        <f t="array" ref="C87">IF(SUM(1*(DAY(E87:K87)=1))&gt;0,K87,"")</f>
        <v/>
      </c>
      <c r="D87" s="3"/>
      <c r="E87" s="33">
        <f>K86+1</f>
        <v>43661</v>
      </c>
      <c r="F87" s="14">
        <f t="shared" si="22"/>
        <v>43662</v>
      </c>
      <c r="G87" s="14">
        <f t="shared" si="22"/>
        <v>43663</v>
      </c>
      <c r="H87" s="14">
        <f t="shared" si="22"/>
        <v>43664</v>
      </c>
      <c r="I87" s="14">
        <f t="shared" si="22"/>
        <v>43665</v>
      </c>
      <c r="J87" s="40">
        <f t="shared" si="22"/>
        <v>43666</v>
      </c>
      <c r="K87" s="40">
        <f t="shared" si="22"/>
        <v>43667</v>
      </c>
    </row>
    <row r="88" spans="1:13" ht="18" customHeight="1">
      <c r="A88" s="38">
        <f>INT((E88-DATE(YEAR(E88-WEEKDAY(E88-1)+4),1,3)+WEEKDAY(DATE(YEAR(E88-WEEKDAY(E88-1)+4),1,3))+ 5)/7)</f>
        <v>30</v>
      </c>
      <c r="C88" s="15" t="str">
        <f t="array" ref="C88">IF(SUM(1*(DAY(E88:K88)=1))&gt;0,K88,"")</f>
        <v/>
      </c>
      <c r="D88" s="3"/>
      <c r="E88" s="33">
        <f>K87+1</f>
        <v>43668</v>
      </c>
      <c r="F88" s="14">
        <f t="shared" si="22"/>
        <v>43669</v>
      </c>
      <c r="G88" s="14">
        <f t="shared" si="22"/>
        <v>43670</v>
      </c>
      <c r="H88" s="14">
        <f t="shared" si="22"/>
        <v>43671</v>
      </c>
      <c r="I88" s="14">
        <f t="shared" si="22"/>
        <v>43672</v>
      </c>
      <c r="J88" s="40">
        <f t="shared" si="22"/>
        <v>43673</v>
      </c>
      <c r="K88" s="40">
        <f t="shared" si="22"/>
        <v>43674</v>
      </c>
    </row>
    <row r="89" spans="1:13" ht="18" customHeight="1">
      <c r="A89" s="38">
        <f>INT((E89-DATE(YEAR(E89-WEEKDAY(E89-1)+4),1,3)+WEEKDAY(DATE(YEAR(E89-WEEKDAY(E89-1)+4),1,3))+ 5)/7)</f>
        <v>31</v>
      </c>
      <c r="C89" s="15">
        <f t="array" ref="C89">IF(SUM(1*(DAY(E89:K89)=1))&gt;0,K89,"")</f>
        <v>43681</v>
      </c>
      <c r="D89" s="3"/>
      <c r="E89" s="33">
        <f>K88+1</f>
        <v>43675</v>
      </c>
      <c r="F89" s="14">
        <f t="shared" si="22"/>
        <v>43676</v>
      </c>
      <c r="G89" s="14">
        <f t="shared" si="22"/>
        <v>43677</v>
      </c>
      <c r="H89" s="14">
        <f t="shared" si="22"/>
        <v>43678</v>
      </c>
      <c r="I89" s="14">
        <f t="shared" si="22"/>
        <v>43679</v>
      </c>
      <c r="J89" s="40">
        <f t="shared" si="22"/>
        <v>43680</v>
      </c>
      <c r="K89" s="40">
        <f t="shared" si="22"/>
        <v>43681</v>
      </c>
    </row>
    <row r="90" spans="1:13">
      <c r="C90" s="15" t="str">
        <f t="array" ref="C90">IF(SUM(1*(DAY(E90:K90)=1))&gt;0,K90,"")</f>
        <v/>
      </c>
      <c r="D90" s="12"/>
      <c r="E90" s="9"/>
      <c r="F90" s="9"/>
      <c r="G90" s="9"/>
      <c r="H90" s="9"/>
      <c r="I90" s="9"/>
      <c r="J90" s="9"/>
      <c r="K90" s="9"/>
    </row>
    <row r="91" spans="1:13">
      <c r="A91" s="65" t="s">
        <v>74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3">
    <mergeCell ref="G2:K2"/>
    <mergeCell ref="E1:K1"/>
    <mergeCell ref="A91:K91"/>
  </mergeCells>
  <conditionalFormatting sqref="C6:C90">
    <cfRule type="expression" dxfId="103" priority="4">
      <formula>IF(C6&lt;&gt;"",TRUE,FALSE)</formula>
    </cfRule>
  </conditionalFormatting>
  <conditionalFormatting sqref="E6:K89">
    <cfRule type="expression" dxfId="102" priority="2">
      <formula>IF(DAY(E6)=1,TRUE,FALSE)</formula>
    </cfRule>
    <cfRule type="expression" dxfId="101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00" priority="1">
      <formula>DAY(E6)&gt;DAY(E7)</formula>
    </cfRule>
  </conditionalFormatting>
  <conditionalFormatting sqref="E84:K89">
    <cfRule type="expression" dxfId="99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6"/>
  <sheetViews>
    <sheetView workbookViewId="0">
      <selection activeCell="A27" sqref="A27"/>
    </sheetView>
  </sheetViews>
  <sheetFormatPr baseColWidth="10" defaultColWidth="9.140625" defaultRowHeight="12.75"/>
  <cols>
    <col min="1" max="1" width="13.42578125" style="13" customWidth="1"/>
    <col min="2" max="2" width="6.7109375" customWidth="1"/>
    <col min="3" max="3" width="24.7109375" customWidth="1"/>
    <col min="4" max="4" width="2.7109375" customWidth="1"/>
    <col min="5" max="8" width="6.7109375" customWidth="1"/>
    <col min="9" max="9" width="2.7109375" customWidth="1"/>
    <col min="10" max="10" width="30.7109375" customWidth="1"/>
    <col min="11" max="11" width="4.7109375" customWidth="1"/>
  </cols>
  <sheetData>
    <row r="1" spans="1:14" ht="18">
      <c r="A1" s="36" t="s">
        <v>1</v>
      </c>
      <c r="B1" s="18"/>
      <c r="C1" s="17"/>
      <c r="D1" s="17"/>
      <c r="E1" s="17"/>
      <c r="F1" s="17"/>
      <c r="G1" s="17"/>
      <c r="H1" s="17"/>
      <c r="I1" s="17"/>
      <c r="J1" s="17"/>
      <c r="L1" s="37" t="s">
        <v>27</v>
      </c>
    </row>
    <row r="2" spans="1:14">
      <c r="A2" s="17" t="s">
        <v>7</v>
      </c>
      <c r="B2" s="17"/>
      <c r="C2" s="17"/>
      <c r="D2" s="17"/>
      <c r="E2" s="17"/>
      <c r="F2" s="17"/>
      <c r="G2" s="17"/>
      <c r="H2" s="17"/>
      <c r="I2" s="17"/>
      <c r="J2" s="17"/>
      <c r="L2" s="11" t="s">
        <v>25</v>
      </c>
    </row>
    <row r="3" spans="1:14">
      <c r="A3" s="19" t="s">
        <v>2</v>
      </c>
      <c r="B3" s="20"/>
      <c r="C3" s="21" t="s">
        <v>3</v>
      </c>
      <c r="D3" s="17"/>
      <c r="E3" s="22" t="s">
        <v>8</v>
      </c>
      <c r="F3" s="22" t="s">
        <v>9</v>
      </c>
      <c r="G3" s="22" t="s">
        <v>10</v>
      </c>
      <c r="H3" s="22" t="s">
        <v>11</v>
      </c>
      <c r="I3" s="17"/>
      <c r="J3" s="23" t="s">
        <v>12</v>
      </c>
      <c r="L3" s="35" t="s">
        <v>23</v>
      </c>
      <c r="M3" s="35" t="s">
        <v>24</v>
      </c>
      <c r="N3" s="35" t="s">
        <v>26</v>
      </c>
    </row>
    <row r="4" spans="1:14">
      <c r="A4" s="49">
        <v>43101</v>
      </c>
      <c r="B4" s="24">
        <f t="shared" ref="B4:B25" si="0">A4</f>
        <v>43101</v>
      </c>
      <c r="C4" s="17" t="s">
        <v>47</v>
      </c>
      <c r="D4" s="17"/>
      <c r="E4" s="17"/>
      <c r="F4" s="17"/>
      <c r="G4" s="17"/>
      <c r="H4" s="17"/>
      <c r="I4" s="17"/>
      <c r="J4" s="17"/>
      <c r="L4" s="32">
        <v>1</v>
      </c>
      <c r="M4" s="11" t="s">
        <v>34</v>
      </c>
      <c r="N4" s="11" t="s">
        <v>35</v>
      </c>
    </row>
    <row r="5" spans="1:14">
      <c r="A5" s="49">
        <v>43191</v>
      </c>
      <c r="B5" s="24">
        <f t="shared" si="0"/>
        <v>43191</v>
      </c>
      <c r="C5" s="17" t="s">
        <v>48</v>
      </c>
      <c r="D5" s="17"/>
      <c r="E5" s="17"/>
      <c r="F5" s="17"/>
      <c r="G5" s="17"/>
      <c r="H5" s="17"/>
      <c r="I5" s="17"/>
      <c r="J5" s="17"/>
      <c r="L5" s="32">
        <v>2</v>
      </c>
      <c r="M5" s="11" t="s">
        <v>36</v>
      </c>
      <c r="N5" s="11" t="s">
        <v>37</v>
      </c>
    </row>
    <row r="6" spans="1:14">
      <c r="A6" s="49">
        <v>43221</v>
      </c>
      <c r="B6" s="24">
        <f t="shared" si="0"/>
        <v>43221</v>
      </c>
      <c r="C6" s="17" t="s">
        <v>49</v>
      </c>
      <c r="D6" s="17"/>
      <c r="E6" s="17"/>
      <c r="F6" s="17"/>
      <c r="G6" s="17"/>
      <c r="H6" s="17"/>
      <c r="I6" s="17"/>
      <c r="J6" s="17"/>
      <c r="L6" s="32">
        <v>3</v>
      </c>
      <c r="M6" s="11" t="s">
        <v>38</v>
      </c>
      <c r="N6" s="11" t="s">
        <v>39</v>
      </c>
    </row>
    <row r="7" spans="1:14">
      <c r="A7" s="49">
        <v>43228</v>
      </c>
      <c r="B7" s="24">
        <f t="shared" si="0"/>
        <v>43228</v>
      </c>
      <c r="C7" s="17" t="s">
        <v>50</v>
      </c>
      <c r="D7" s="17"/>
      <c r="E7" s="17"/>
      <c r="F7" s="17"/>
      <c r="G7" s="17"/>
      <c r="H7" s="17"/>
      <c r="I7" s="17"/>
      <c r="J7" s="17"/>
      <c r="L7" s="32">
        <v>4</v>
      </c>
      <c r="M7" s="11" t="s">
        <v>40</v>
      </c>
      <c r="N7" s="11" t="s">
        <v>41</v>
      </c>
    </row>
    <row r="8" spans="1:14">
      <c r="A8" s="49">
        <v>42500</v>
      </c>
      <c r="B8" s="24">
        <f t="shared" si="0"/>
        <v>42500</v>
      </c>
      <c r="C8" s="17" t="s">
        <v>51</v>
      </c>
      <c r="D8" s="17"/>
      <c r="E8" s="17"/>
      <c r="F8" s="17"/>
      <c r="G8" s="17"/>
      <c r="H8" s="17"/>
      <c r="I8" s="17"/>
      <c r="J8" s="17"/>
      <c r="L8" s="32">
        <v>5</v>
      </c>
      <c r="M8" s="11" t="s">
        <v>42</v>
      </c>
      <c r="N8" s="11" t="s">
        <v>43</v>
      </c>
    </row>
    <row r="9" spans="1:14">
      <c r="A9" s="49">
        <v>42511</v>
      </c>
      <c r="B9" s="24">
        <f t="shared" si="0"/>
        <v>42511</v>
      </c>
      <c r="C9" s="17" t="s">
        <v>72</v>
      </c>
      <c r="D9" s="17"/>
      <c r="E9" s="17"/>
      <c r="F9" s="17"/>
      <c r="G9" s="17"/>
      <c r="H9" s="17"/>
      <c r="I9" s="17"/>
      <c r="J9" s="17"/>
      <c r="L9" s="32">
        <v>6</v>
      </c>
      <c r="M9" s="11" t="s">
        <v>44</v>
      </c>
      <c r="N9" s="11" t="s">
        <v>45</v>
      </c>
    </row>
    <row r="10" spans="1:14">
      <c r="A10" s="49">
        <v>43295</v>
      </c>
      <c r="B10" s="24">
        <f t="shared" si="0"/>
        <v>43295</v>
      </c>
      <c r="C10" s="17" t="s">
        <v>52</v>
      </c>
      <c r="D10" s="17"/>
      <c r="E10" s="17"/>
      <c r="F10" s="17"/>
      <c r="G10" s="17"/>
      <c r="H10" s="17"/>
      <c r="I10" s="17"/>
      <c r="J10" s="17"/>
      <c r="L10" s="32">
        <v>7</v>
      </c>
      <c r="M10" s="11" t="s">
        <v>33</v>
      </c>
      <c r="N10" s="11" t="s">
        <v>46</v>
      </c>
    </row>
    <row r="11" spans="1:14">
      <c r="A11" s="49">
        <v>43327</v>
      </c>
      <c r="B11" s="24">
        <f t="shared" si="0"/>
        <v>43327</v>
      </c>
      <c r="C11" s="17" t="s">
        <v>53</v>
      </c>
      <c r="D11" s="17"/>
      <c r="E11" s="17"/>
      <c r="F11" s="17"/>
      <c r="G11" s="17"/>
      <c r="H11" s="17"/>
      <c r="I11" s="17"/>
      <c r="J11" s="17"/>
      <c r="L11" s="35"/>
      <c r="M11" s="35"/>
      <c r="N11" s="35"/>
    </row>
    <row r="12" spans="1:14">
      <c r="A12" s="49">
        <v>43405</v>
      </c>
      <c r="B12" s="24">
        <f t="shared" si="0"/>
        <v>43405</v>
      </c>
      <c r="C12" s="17" t="s">
        <v>54</v>
      </c>
      <c r="D12" s="17"/>
      <c r="E12" s="17"/>
      <c r="F12" s="17"/>
      <c r="G12" s="17"/>
      <c r="H12" s="17"/>
      <c r="I12" s="17"/>
      <c r="J12" s="17"/>
      <c r="L12" s="11" t="s">
        <v>28</v>
      </c>
    </row>
    <row r="13" spans="1:14">
      <c r="A13" s="49">
        <v>43415</v>
      </c>
      <c r="B13" s="24">
        <f t="shared" si="0"/>
        <v>43415</v>
      </c>
      <c r="C13" s="17" t="s">
        <v>55</v>
      </c>
      <c r="D13" s="17"/>
      <c r="E13" s="17"/>
      <c r="F13" s="17"/>
      <c r="G13" s="17"/>
      <c r="H13" s="17"/>
      <c r="I13" s="17"/>
      <c r="J13" s="17"/>
      <c r="L13" s="11" t="s">
        <v>29</v>
      </c>
    </row>
    <row r="14" spans="1:14">
      <c r="A14" s="49">
        <v>43459</v>
      </c>
      <c r="B14" s="24">
        <f t="shared" si="0"/>
        <v>43459</v>
      </c>
      <c r="C14" s="17" t="s">
        <v>56</v>
      </c>
      <c r="D14" s="17"/>
      <c r="E14" s="17"/>
      <c r="F14" s="17"/>
      <c r="G14" s="17"/>
      <c r="H14" s="17"/>
      <c r="I14" s="17"/>
      <c r="J14" s="17"/>
    </row>
    <row r="15" spans="1:14">
      <c r="A15" s="49">
        <v>43466</v>
      </c>
      <c r="B15" s="24">
        <f t="shared" si="0"/>
        <v>43466</v>
      </c>
      <c r="C15" s="17" t="s">
        <v>47</v>
      </c>
      <c r="D15" s="17"/>
      <c r="E15" s="17"/>
      <c r="F15" s="17"/>
      <c r="G15" s="17"/>
      <c r="H15" s="17"/>
      <c r="I15" s="17"/>
      <c r="J15" s="17"/>
    </row>
    <row r="16" spans="1:14">
      <c r="A16" s="49">
        <v>43577</v>
      </c>
      <c r="B16" s="24">
        <f t="shared" si="0"/>
        <v>43577</v>
      </c>
      <c r="C16" s="17" t="s">
        <v>48</v>
      </c>
      <c r="D16" s="17"/>
      <c r="E16" s="17"/>
      <c r="F16" s="17"/>
      <c r="G16" s="17"/>
      <c r="H16" s="17"/>
      <c r="I16" s="17"/>
      <c r="J16" s="17"/>
    </row>
    <row r="17" spans="1:10">
      <c r="A17" s="49">
        <v>43586</v>
      </c>
      <c r="B17" s="24">
        <f t="shared" si="0"/>
        <v>43586</v>
      </c>
      <c r="C17" s="17" t="s">
        <v>49</v>
      </c>
      <c r="D17" s="17"/>
      <c r="E17" s="17"/>
      <c r="F17" s="17"/>
      <c r="G17" s="17"/>
      <c r="H17" s="17"/>
      <c r="I17" s="17"/>
      <c r="J17" s="17"/>
    </row>
    <row r="18" spans="1:10">
      <c r="A18" s="49">
        <v>43593</v>
      </c>
      <c r="B18" s="24">
        <f t="shared" si="0"/>
        <v>43593</v>
      </c>
      <c r="C18" s="17" t="s">
        <v>50</v>
      </c>
      <c r="D18" s="17"/>
      <c r="E18" s="17"/>
      <c r="F18" s="17"/>
      <c r="G18" s="17"/>
      <c r="H18" s="17"/>
      <c r="I18" s="17"/>
      <c r="J18" s="17"/>
    </row>
    <row r="19" spans="1:10">
      <c r="A19" s="49">
        <v>43615</v>
      </c>
      <c r="B19" s="24">
        <f t="shared" si="0"/>
        <v>43615</v>
      </c>
      <c r="C19" s="17" t="s">
        <v>51</v>
      </c>
      <c r="D19" s="17"/>
      <c r="E19" s="17"/>
      <c r="F19" s="17"/>
      <c r="G19" s="17"/>
      <c r="H19" s="17"/>
      <c r="I19" s="17"/>
      <c r="J19" s="17"/>
    </row>
    <row r="20" spans="1:10">
      <c r="A20" s="49">
        <v>43626</v>
      </c>
      <c r="B20" s="24">
        <f t="shared" si="0"/>
        <v>43626</v>
      </c>
      <c r="C20" s="17" t="s">
        <v>72</v>
      </c>
      <c r="D20" s="17"/>
      <c r="E20" s="17"/>
      <c r="F20" s="17"/>
      <c r="G20" s="17"/>
      <c r="H20" s="17"/>
      <c r="I20" s="17"/>
      <c r="J20" s="17"/>
    </row>
    <row r="21" spans="1:10">
      <c r="A21" s="49">
        <v>43660</v>
      </c>
      <c r="B21" s="24">
        <f t="shared" si="0"/>
        <v>43660</v>
      </c>
      <c r="C21" s="17" t="s">
        <v>52</v>
      </c>
      <c r="D21" s="17"/>
      <c r="E21" s="17"/>
      <c r="F21" s="17"/>
      <c r="G21" s="17"/>
      <c r="H21" s="17"/>
      <c r="I21" s="17"/>
      <c r="J21" s="17"/>
    </row>
    <row r="22" spans="1:10">
      <c r="A22" s="49">
        <v>43692</v>
      </c>
      <c r="B22" s="24">
        <f t="shared" si="0"/>
        <v>43692</v>
      </c>
      <c r="C22" s="17" t="s">
        <v>53</v>
      </c>
      <c r="D22" s="17"/>
      <c r="E22" s="17"/>
      <c r="F22" s="17"/>
      <c r="G22" s="17"/>
      <c r="H22" s="17"/>
      <c r="I22" s="17"/>
      <c r="J22" s="17"/>
    </row>
    <row r="23" spans="1:10">
      <c r="A23" s="49">
        <v>43770</v>
      </c>
      <c r="B23" s="24">
        <f t="shared" si="0"/>
        <v>43770</v>
      </c>
      <c r="C23" s="17" t="s">
        <v>54</v>
      </c>
      <c r="D23" s="17"/>
      <c r="E23" s="17"/>
      <c r="F23" s="17"/>
      <c r="G23" s="17"/>
      <c r="H23" s="17"/>
      <c r="I23" s="17"/>
      <c r="J23" s="17"/>
    </row>
    <row r="24" spans="1:10">
      <c r="A24" s="49">
        <v>43780</v>
      </c>
      <c r="B24" s="24">
        <f t="shared" si="0"/>
        <v>43780</v>
      </c>
      <c r="C24" s="17" t="s">
        <v>55</v>
      </c>
      <c r="D24" s="17"/>
      <c r="E24" s="17"/>
      <c r="F24" s="17"/>
      <c r="G24" s="17"/>
      <c r="H24" s="17"/>
      <c r="I24" s="17"/>
      <c r="J24" s="17"/>
    </row>
    <row r="25" spans="1:10">
      <c r="A25" s="49">
        <v>43824</v>
      </c>
      <c r="B25" s="24">
        <f t="shared" si="0"/>
        <v>43824</v>
      </c>
      <c r="C25" s="17" t="s">
        <v>56</v>
      </c>
      <c r="D25" s="17"/>
      <c r="E25" s="17"/>
      <c r="F25" s="17"/>
      <c r="G25" s="17"/>
      <c r="H25" s="17"/>
      <c r="I25" s="17"/>
      <c r="J25" s="17"/>
    </row>
    <row r="26" spans="1:10">
      <c r="A26" s="49">
        <v>43094</v>
      </c>
      <c r="B26" s="24">
        <f t="shared" ref="B26" si="1">A26</f>
        <v>43094</v>
      </c>
      <c r="C26" s="17" t="s">
        <v>56</v>
      </c>
      <c r="D26" s="17"/>
      <c r="E26" s="17"/>
      <c r="F26" s="17"/>
      <c r="G26" s="17"/>
      <c r="H26" s="17"/>
      <c r="I26" s="17"/>
      <c r="J26" s="17"/>
    </row>
    <row r="27" spans="1:10">
      <c r="A27" s="49"/>
      <c r="B27" s="24"/>
      <c r="C27" s="17"/>
      <c r="D27" s="17"/>
      <c r="E27" s="17"/>
      <c r="F27" s="17"/>
      <c r="G27" s="17"/>
      <c r="H27" s="17"/>
      <c r="I27" s="17"/>
      <c r="J27" s="17"/>
    </row>
    <row r="28" spans="1:10">
      <c r="A28" s="16"/>
      <c r="B28" s="24"/>
      <c r="C28" s="17"/>
      <c r="D28" s="17"/>
      <c r="E28" s="17"/>
      <c r="F28" s="17"/>
      <c r="G28" s="17"/>
      <c r="H28" s="17"/>
      <c r="I28" s="17"/>
      <c r="J28" s="17"/>
    </row>
    <row r="29" spans="1:10">
      <c r="A29" s="25" t="s">
        <v>13</v>
      </c>
      <c r="B29" s="19"/>
      <c r="C29" s="21"/>
      <c r="D29" s="17"/>
      <c r="E29" s="23"/>
      <c r="F29" s="23"/>
      <c r="G29" s="23"/>
      <c r="H29" s="23"/>
      <c r="I29" s="17"/>
      <c r="J29" s="23"/>
    </row>
    <row r="30" spans="1:10">
      <c r="A30" s="17"/>
      <c r="B30" s="17"/>
      <c r="C30" s="17"/>
      <c r="D30" s="17"/>
      <c r="E30" s="17"/>
      <c r="F30" s="17"/>
      <c r="G30" s="17"/>
      <c r="H30" s="17"/>
      <c r="I30" s="17"/>
      <c r="J30" s="17"/>
    </row>
    <row r="31" spans="1:10">
      <c r="A31" s="17" t="s">
        <v>14</v>
      </c>
      <c r="B31" s="17"/>
      <c r="C31" s="17"/>
      <c r="D31" s="17"/>
      <c r="E31" s="17" t="s">
        <v>8</v>
      </c>
      <c r="F31" s="17" t="s">
        <v>15</v>
      </c>
      <c r="G31" s="17"/>
      <c r="H31" s="17"/>
      <c r="I31" s="17"/>
      <c r="J31" s="17"/>
    </row>
    <row r="32" spans="1:10">
      <c r="A32" s="16" t="s">
        <v>16</v>
      </c>
      <c r="B32" s="16"/>
      <c r="C32" s="17"/>
      <c r="D32" s="17"/>
      <c r="E32" s="17" t="s">
        <v>9</v>
      </c>
      <c r="F32" s="17" t="s">
        <v>17</v>
      </c>
      <c r="G32" s="17"/>
      <c r="H32" s="17"/>
      <c r="I32" s="17"/>
      <c r="J32" s="17"/>
    </row>
    <row r="33" spans="1:10">
      <c r="A33" s="16" t="s">
        <v>18</v>
      </c>
      <c r="B33" s="16"/>
      <c r="C33" s="17"/>
      <c r="D33" s="17"/>
      <c r="E33" s="17" t="s">
        <v>10</v>
      </c>
      <c r="F33" s="17" t="s">
        <v>19</v>
      </c>
      <c r="G33" s="17"/>
      <c r="H33" s="17"/>
      <c r="I33" s="17"/>
      <c r="J33" s="17"/>
    </row>
    <row r="34" spans="1:10">
      <c r="A34" s="16"/>
      <c r="B34" s="16"/>
      <c r="C34" s="17"/>
      <c r="D34" s="17"/>
      <c r="E34" s="17" t="s">
        <v>11</v>
      </c>
      <c r="F34" s="17" t="s">
        <v>20</v>
      </c>
      <c r="G34" s="17"/>
      <c r="H34" s="17"/>
      <c r="I34" s="17"/>
      <c r="J34" s="17"/>
    </row>
    <row r="35" spans="1:10">
      <c r="A35" s="16" t="s">
        <v>21</v>
      </c>
      <c r="B35" s="16"/>
      <c r="C35" s="17"/>
      <c r="D35" s="17"/>
      <c r="E35" s="17"/>
      <c r="F35" s="17"/>
      <c r="G35" s="17"/>
      <c r="H35" s="17"/>
      <c r="I35" s="17"/>
      <c r="J35" s="17"/>
    </row>
    <row r="36" spans="1:10">
      <c r="A36" s="16" t="s">
        <v>22</v>
      </c>
      <c r="B36" s="16"/>
      <c r="C36" s="17"/>
      <c r="D36" s="17"/>
      <c r="E36" s="17"/>
      <c r="F36" s="17"/>
      <c r="G36" s="17"/>
      <c r="H36" s="17"/>
      <c r="I36" s="17"/>
      <c r="J36" s="17"/>
    </row>
  </sheetData>
  <pageMargins left="0.7" right="0.7" top="0.75" bottom="0.75" header="0.3" footer="0.3"/>
  <pageSetup orientation="portrait" horizontalDpi="4294967293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20" sqref="B20"/>
    </sheetView>
  </sheetViews>
  <sheetFormatPr baseColWidth="10" defaultColWidth="9.140625" defaultRowHeight="12.75"/>
  <cols>
    <col min="1" max="1" width="18.140625" style="47" customWidth="1"/>
    <col min="2" max="2" width="54.85546875" style="47" customWidth="1"/>
    <col min="3" max="16384" width="9.140625" style="17"/>
  </cols>
  <sheetData>
    <row r="1" spans="1:2" ht="25.5" customHeight="1">
      <c r="A1" s="66" t="s">
        <v>58</v>
      </c>
      <c r="B1" s="66"/>
    </row>
    <row r="2" spans="1:2" s="43" customFormat="1" ht="12.75" customHeight="1">
      <c r="A2" s="41" t="s">
        <v>59</v>
      </c>
      <c r="B2" s="42"/>
    </row>
    <row r="4" spans="1:2" ht="38.25">
      <c r="A4" s="44" t="s">
        <v>60</v>
      </c>
      <c r="B4" s="45" t="s">
        <v>61</v>
      </c>
    </row>
    <row r="5" spans="1:2">
      <c r="A5" s="46"/>
    </row>
    <row r="6" spans="1:2" ht="38.25">
      <c r="A6" s="44" t="s">
        <v>62</v>
      </c>
      <c r="B6" s="48" t="s">
        <v>63</v>
      </c>
    </row>
    <row r="7" spans="1:2">
      <c r="A7" s="46"/>
      <c r="B7" s="48" t="s">
        <v>64</v>
      </c>
    </row>
    <row r="8" spans="1:2" ht="63.75">
      <c r="A8" s="44" t="s">
        <v>65</v>
      </c>
      <c r="B8" s="47" t="s">
        <v>66</v>
      </c>
    </row>
    <row r="9" spans="1:2" ht="25.5">
      <c r="A9" s="44" t="s">
        <v>67</v>
      </c>
      <c r="B9" s="48" t="s">
        <v>68</v>
      </c>
    </row>
    <row r="10" spans="1:2">
      <c r="A10" s="46"/>
    </row>
    <row r="11" spans="1:2">
      <c r="A11" s="44" t="s">
        <v>0</v>
      </c>
      <c r="B11" s="48" t="s">
        <v>69</v>
      </c>
    </row>
    <row r="12" spans="1:2">
      <c r="A12" s="46"/>
    </row>
    <row r="13" spans="1:2">
      <c r="A13" s="44" t="s">
        <v>4</v>
      </c>
      <c r="B13" s="44" t="s">
        <v>70</v>
      </c>
    </row>
    <row r="14" spans="1:2" ht="25.5">
      <c r="B14" s="48" t="s">
        <v>32</v>
      </c>
    </row>
    <row r="15" spans="1:2" ht="25.5">
      <c r="A15" s="46"/>
      <c r="B15" s="48" t="s">
        <v>5</v>
      </c>
    </row>
    <row r="16" spans="1:2">
      <c r="A16" s="46"/>
      <c r="B16" s="47" t="s">
        <v>6</v>
      </c>
    </row>
    <row r="17" spans="1:2">
      <c r="A17" s="46"/>
      <c r="B17" s="16" t="s">
        <v>71</v>
      </c>
    </row>
    <row r="18" spans="1:2">
      <c r="B18" s="16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MARIOTTA Rodolphe</dc:creator>
  <cp:lastModifiedBy>MARIOTTA Rodolphe</cp:lastModifiedBy>
  <cp:lastPrinted>2013-01-02T15:44:09Z</cp:lastPrinted>
  <dcterms:created xsi:type="dcterms:W3CDTF">2002-02-26T15:58:14Z</dcterms:created>
  <dcterms:modified xsi:type="dcterms:W3CDTF">2017-12-18T11:05:48Z</dcterms:modified>
</cp:coreProperties>
</file>